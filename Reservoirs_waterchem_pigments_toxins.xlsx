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g\Dropbox\University of Regina PostDoc\Urea dugouts\Manuscript materials\Data for upload\"/>
    </mc:Choice>
  </mc:AlternateContent>
  <xr:revisionPtr revIDLastSave="0" documentId="13_ncr:1_{007C767A-0922-40A5-BAA0-1F3B282236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ervoir data" sheetId="1" r:id="rId1"/>
    <sheet name="Metadata" sheetId="2" r:id="rId2"/>
  </sheets>
  <calcPr calcId="191029"/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6" i="1"/>
  <c r="AA37" i="1"/>
  <c r="AA38" i="1"/>
  <c r="AA39" i="1"/>
  <c r="AA40" i="1"/>
  <c r="AA41" i="1"/>
  <c r="AA43" i="1"/>
  <c r="AA44" i="1"/>
  <c r="AA45" i="1"/>
  <c r="AA46" i="1"/>
  <c r="AA47" i="1"/>
  <c r="AA49" i="1"/>
  <c r="AA50" i="1"/>
  <c r="AA51" i="1"/>
  <c r="AA52" i="1"/>
  <c r="AA54" i="1"/>
  <c r="AA55" i="1"/>
  <c r="AA56" i="1"/>
  <c r="AA57" i="1"/>
  <c r="AA59" i="1"/>
  <c r="AA60" i="1"/>
  <c r="AA61" i="1"/>
  <c r="AA63" i="1"/>
  <c r="AA64" i="1"/>
  <c r="AA65" i="1"/>
  <c r="AA67" i="1"/>
  <c r="AA68" i="1"/>
  <c r="AA70" i="1"/>
  <c r="AA71" i="1"/>
  <c r="AA72" i="1"/>
  <c r="AA73" i="1"/>
  <c r="AA74" i="1"/>
  <c r="AA75" i="1"/>
  <c r="AA76" i="1"/>
  <c r="AA77" i="1"/>
  <c r="AA78" i="1"/>
  <c r="AA79" i="1"/>
  <c r="AA2" i="1"/>
</calcChain>
</file>

<file path=xl/sharedStrings.xml><?xml version="1.0" encoding="utf-8"?>
<sst xmlns="http://schemas.openxmlformats.org/spreadsheetml/2006/main" count="329" uniqueCount="113">
  <si>
    <t>Date</t>
  </si>
  <si>
    <t>Group</t>
  </si>
  <si>
    <t>DOY</t>
  </si>
  <si>
    <t>pH</t>
  </si>
  <si>
    <t>INTCHL</t>
  </si>
  <si>
    <t>SURFCHL</t>
  </si>
  <si>
    <t>TDP</t>
  </si>
  <si>
    <t>SRP</t>
  </si>
  <si>
    <t>NOX</t>
  </si>
  <si>
    <t>NH4</t>
  </si>
  <si>
    <t>TDN</t>
  </si>
  <si>
    <t>TNTP</t>
  </si>
  <si>
    <t>R</t>
  </si>
  <si>
    <t>Fuco</t>
  </si>
  <si>
    <t>Diato</t>
  </si>
  <si>
    <t>Allo</t>
  </si>
  <si>
    <t xml:space="preserve">Chlb </t>
  </si>
  <si>
    <t>PheoB</t>
  </si>
  <si>
    <t>Lutein</t>
  </si>
  <si>
    <t>Echine</t>
  </si>
  <si>
    <t>Cantha</t>
  </si>
  <si>
    <t>Aphan</t>
  </si>
  <si>
    <t>Myxo</t>
  </si>
  <si>
    <t xml:space="preserve">Chla </t>
  </si>
  <si>
    <t>PheoA</t>
  </si>
  <si>
    <t>Bcar</t>
  </si>
  <si>
    <t>BMAA</t>
  </si>
  <si>
    <t>MC</t>
  </si>
  <si>
    <t>ANAT</t>
  </si>
  <si>
    <t>Legend</t>
  </si>
  <si>
    <t>Temp</t>
  </si>
  <si>
    <t>DO</t>
  </si>
  <si>
    <t>SPC</t>
  </si>
  <si>
    <t>Cond</t>
  </si>
  <si>
    <t>Sal</t>
  </si>
  <si>
    <t>Depth</t>
  </si>
  <si>
    <t>Secchi</t>
  </si>
  <si>
    <t>Variable</t>
  </si>
  <si>
    <t>Name</t>
  </si>
  <si>
    <t>Unit</t>
  </si>
  <si>
    <t>Experimental Group</t>
  </si>
  <si>
    <t>Day of Year</t>
  </si>
  <si>
    <t>m</t>
  </si>
  <si>
    <t>cm</t>
  </si>
  <si>
    <t>Temperature</t>
  </si>
  <si>
    <t>°C</t>
  </si>
  <si>
    <t>Dissolved oxygen</t>
  </si>
  <si>
    <t>mg/L</t>
  </si>
  <si>
    <t>Specific conductance</t>
  </si>
  <si>
    <t>μS/cm</t>
  </si>
  <si>
    <t>Conductivity</t>
  </si>
  <si>
    <t>Salinity</t>
  </si>
  <si>
    <t xml:space="preserve">ppt </t>
  </si>
  <si>
    <t>Total dissolved phosphorus</t>
  </si>
  <si>
    <t>μg/L</t>
  </si>
  <si>
    <t>Soluble reactive phosphorus</t>
  </si>
  <si>
    <r>
      <t>Nitrite (NO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+ Nitrate (NO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</si>
  <si>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Ammonium (NH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+)</t>
    </r>
  </si>
  <si>
    <t>Total dissolved nitrogen</t>
  </si>
  <si>
    <t>Total nitrogen to total phosphours ratio</t>
  </si>
  <si>
    <r>
      <t xml:space="preserve">Depth-integrated chlorophyll </t>
    </r>
    <r>
      <rPr>
        <i/>
        <sz val="11"/>
        <color theme="1"/>
        <rFont val="Calibri"/>
        <family val="2"/>
        <scheme val="minor"/>
      </rPr>
      <t>a</t>
    </r>
  </si>
  <si>
    <r>
      <t xml:space="preserve">Surface chlorophyll </t>
    </r>
    <r>
      <rPr>
        <i/>
        <sz val="11"/>
        <color theme="1"/>
        <rFont val="Calibri"/>
        <family val="2"/>
        <scheme val="minor"/>
      </rPr>
      <t>a</t>
    </r>
  </si>
  <si>
    <t>Fucoxanthin (siliceous algae)</t>
  </si>
  <si>
    <t>nmol/L</t>
  </si>
  <si>
    <t>Diatoxanthin (mainly diatoms)</t>
  </si>
  <si>
    <t>Alloxanthin (cryptophytes)</t>
  </si>
  <si>
    <t>NOTE All pigments are depth integrated samples</t>
  </si>
  <si>
    <r>
      <t xml:space="preserve">Chlorophyll </t>
    </r>
    <r>
      <rPr>
        <i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(green algae)</t>
    </r>
  </si>
  <si>
    <r>
      <t xml:space="preserve">Pheophytin </t>
    </r>
    <r>
      <rPr>
        <i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(chlorophyll</t>
    </r>
    <r>
      <rPr>
        <i/>
        <sz val="11"/>
        <color theme="1"/>
        <rFont val="Calibri"/>
        <family val="2"/>
        <scheme val="minor"/>
      </rPr>
      <t xml:space="preserve"> b </t>
    </r>
    <r>
      <rPr>
        <sz val="11"/>
        <color theme="1"/>
        <rFont val="Calibri"/>
        <family val="2"/>
        <scheme val="minor"/>
      </rPr>
      <t>derivative)</t>
    </r>
  </si>
  <si>
    <t>Lutein-zeaxanthin (green algae and cyanobacteria)</t>
  </si>
  <si>
    <t>Echinenone (total cyanobacteria)</t>
  </si>
  <si>
    <t>Canthaxanthin (Nostocales cyanobacteria - potentially N-fixing)</t>
  </si>
  <si>
    <t>Aphanoziphyll (N-fixing cyanobacteria)</t>
  </si>
  <si>
    <t>Myxoxanthophyll (colonial cyanobacteria)</t>
  </si>
  <si>
    <r>
      <t xml:space="preserve">Chlorophyll </t>
    </r>
    <r>
      <rPr>
        <i/>
        <sz val="11"/>
        <color theme="1"/>
        <rFont val="Calibri"/>
        <family val="2"/>
        <scheme val="minor"/>
      </rPr>
      <t xml:space="preserve">a </t>
    </r>
    <r>
      <rPr>
        <sz val="11"/>
        <color theme="1"/>
        <rFont val="Calibri"/>
        <family val="2"/>
        <scheme val="minor"/>
      </rPr>
      <t>(total production)</t>
    </r>
  </si>
  <si>
    <r>
      <t xml:space="preserve">Pheophytin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(chlorophyll</t>
    </r>
    <r>
      <rPr>
        <i/>
        <sz val="11"/>
        <color theme="1"/>
        <rFont val="Calibri"/>
        <family val="2"/>
        <scheme val="minor"/>
      </rPr>
      <t xml:space="preserve"> a</t>
    </r>
    <r>
      <rPr>
        <sz val="11"/>
        <color theme="1"/>
        <rFont val="Calibri"/>
        <family val="2"/>
        <scheme val="minor"/>
      </rPr>
      <t xml:space="preserve"> derivative)</t>
    </r>
  </si>
  <si>
    <t>β-carotene (total production)</t>
  </si>
  <si>
    <t>μg/L (ppb)</t>
  </si>
  <si>
    <t>Microcystin toxins</t>
  </si>
  <si>
    <t>Anatoxins</t>
  </si>
  <si>
    <t>β-Methylamino-L-alanine toxin</t>
  </si>
  <si>
    <t>NA</t>
  </si>
  <si>
    <t>Volume</t>
  </si>
  <si>
    <t xml:space="preserve">L </t>
  </si>
  <si>
    <t>DIC</t>
  </si>
  <si>
    <t>DOC</t>
  </si>
  <si>
    <t>SICHL</t>
  </si>
  <si>
    <t>Longitude</t>
  </si>
  <si>
    <t>Profile data are depth-integrated means</t>
  </si>
  <si>
    <t>Site</t>
  </si>
  <si>
    <t>Site name</t>
  </si>
  <si>
    <t>Date of collection</t>
  </si>
  <si>
    <t>Reservoir volume</t>
  </si>
  <si>
    <t>Secchi depth</t>
  </si>
  <si>
    <t>μS/cm @25 °C</t>
  </si>
  <si>
    <t>Lat</t>
  </si>
  <si>
    <t>Long</t>
  </si>
  <si>
    <t>Latitude</t>
  </si>
  <si>
    <t>Dissolved organic carbon</t>
  </si>
  <si>
    <t>mgL</t>
  </si>
  <si>
    <t>Dissolved inorganic carbon</t>
  </si>
  <si>
    <t>SA</t>
  </si>
  <si>
    <t>Surface area</t>
  </si>
  <si>
    <t>m2</t>
  </si>
  <si>
    <t>F1</t>
  </si>
  <si>
    <t>R1</t>
  </si>
  <si>
    <t>F2</t>
  </si>
  <si>
    <t>F = fertilized; R = Reference</t>
  </si>
  <si>
    <r>
      <t xml:space="preserve">Surface:depth-integrated chlorophyll </t>
    </r>
    <r>
      <rPr>
        <i/>
        <sz val="11"/>
        <color theme="1"/>
        <rFont val="Calibri"/>
        <family val="2"/>
        <scheme val="minor"/>
      </rPr>
      <t>a</t>
    </r>
  </si>
  <si>
    <t>F</t>
  </si>
  <si>
    <t>R2</t>
  </si>
  <si>
    <t>F3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</si>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</sst>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6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0" fontId="22" fillId="33" borderId="0" xfId="0" applyFont="1" applyFill="1"/>
    <xf numFmtId="0" fontId="0" fillId="33" borderId="0" xfId="0" applyFill="1"/>
    <xf numFmtId="0" fontId="19" fillId="34" borderId="0" xfId="0" applyFont="1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0"/>
  <sheetViews>
    <sheetView tabSelected="1" topLeftCell="A52" workbookViewId="0">
      <pane xSplit="1" topLeftCell="B1" activePane="topRight" state="frozen"/>
      <selection pane="topRight" activeCell="A80" sqref="A80"/>
    </sheetView>
  </sheetViews>
  <sheetFormatPr defaultRowHeight="14.4" x14ac:dyDescent="0.3"/>
  <cols>
    <col min="3" max="3" width="10.88671875" customWidth="1"/>
    <col min="4" max="4" width="16.109375" customWidth="1"/>
    <col min="5" max="5" width="12.6640625" customWidth="1"/>
    <col min="7" max="8" width="10" customWidth="1"/>
    <col min="9" max="9" width="12.6640625" customWidth="1"/>
    <col min="10" max="10" width="11.33203125" customWidth="1"/>
    <col min="11" max="11" width="9.33203125" customWidth="1"/>
    <col min="12" max="13" width="8.88671875" customWidth="1"/>
    <col min="14" max="14" width="8.5546875" customWidth="1"/>
    <col min="15" max="15" width="10" customWidth="1"/>
    <col min="16" max="18" width="9.109375" customWidth="1"/>
    <col min="41" max="41" width="12.33203125" customWidth="1"/>
    <col min="42" max="42" width="13.44140625" customWidth="1"/>
    <col min="43" max="43" width="12.33203125" customWidth="1"/>
  </cols>
  <sheetData>
    <row r="1" spans="1:43" x14ac:dyDescent="0.3">
      <c r="A1" t="s">
        <v>89</v>
      </c>
      <c r="B1" t="s">
        <v>1</v>
      </c>
      <c r="C1" t="s">
        <v>95</v>
      </c>
      <c r="D1" t="s">
        <v>96</v>
      </c>
      <c r="E1" t="s">
        <v>0</v>
      </c>
      <c r="F1" t="s">
        <v>2</v>
      </c>
      <c r="G1" t="s">
        <v>35</v>
      </c>
      <c r="H1" t="s">
        <v>101</v>
      </c>
      <c r="I1" t="s">
        <v>82</v>
      </c>
      <c r="J1" t="s">
        <v>36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</v>
      </c>
      <c r="Q1" t="s">
        <v>84</v>
      </c>
      <c r="R1" t="s">
        <v>85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4</v>
      </c>
      <c r="Z1" t="s">
        <v>5</v>
      </c>
      <c r="AA1" t="s">
        <v>86</v>
      </c>
      <c r="AB1" t="s">
        <v>13</v>
      </c>
      <c r="AC1" t="s">
        <v>14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  <c r="AI1" t="s">
        <v>20</v>
      </c>
      <c r="AJ1" t="s">
        <v>21</v>
      </c>
      <c r="AK1" t="s">
        <v>22</v>
      </c>
      <c r="AL1" t="s">
        <v>23</v>
      </c>
      <c r="AM1" t="s">
        <v>24</v>
      </c>
      <c r="AN1" t="s">
        <v>25</v>
      </c>
      <c r="AO1" s="5" t="s">
        <v>27</v>
      </c>
      <c r="AP1" s="5" t="s">
        <v>26</v>
      </c>
      <c r="AQ1" s="5" t="s">
        <v>28</v>
      </c>
    </row>
    <row r="2" spans="1:43" x14ac:dyDescent="0.3">
      <c r="A2" t="s">
        <v>104</v>
      </c>
      <c r="B2" t="s">
        <v>109</v>
      </c>
      <c r="C2">
        <v>50.123545999999997</v>
      </c>
      <c r="D2">
        <v>-103.491725</v>
      </c>
      <c r="E2" s="1">
        <v>44348</v>
      </c>
      <c r="F2">
        <v>152</v>
      </c>
      <c r="G2">
        <v>2.5</v>
      </c>
      <c r="H2" s="4">
        <v>520</v>
      </c>
      <c r="I2">
        <v>531567</v>
      </c>
      <c r="J2">
        <v>14.7</v>
      </c>
      <c r="K2">
        <v>14.1</v>
      </c>
      <c r="L2">
        <v>8.24</v>
      </c>
      <c r="M2">
        <v>710</v>
      </c>
      <c r="N2">
        <v>564</v>
      </c>
      <c r="O2">
        <v>0.35</v>
      </c>
      <c r="P2">
        <v>8.9700000000000006</v>
      </c>
      <c r="Q2">
        <v>26.95</v>
      </c>
      <c r="R2">
        <v>15.98</v>
      </c>
      <c r="S2">
        <v>43</v>
      </c>
      <c r="T2">
        <v>17</v>
      </c>
      <c r="U2">
        <v>129</v>
      </c>
      <c r="V2">
        <v>88</v>
      </c>
      <c r="W2">
        <v>1900</v>
      </c>
      <c r="X2">
        <v>44.186046509999997</v>
      </c>
      <c r="Y2">
        <v>164.89</v>
      </c>
      <c r="Z2">
        <v>122.82</v>
      </c>
      <c r="AA2">
        <f>Z2/Y2</f>
        <v>0.74486020983686096</v>
      </c>
      <c r="AB2">
        <v>10.69012594</v>
      </c>
      <c r="AC2">
        <v>1.8683132520000001</v>
      </c>
      <c r="AD2">
        <v>3.7361163620000002</v>
      </c>
      <c r="AE2">
        <v>9.3548741270000004</v>
      </c>
      <c r="AF2">
        <v>4.8293202209999997</v>
      </c>
      <c r="AG2">
        <v>88.717339069999994</v>
      </c>
      <c r="AH2">
        <v>1.203887956</v>
      </c>
      <c r="AI2">
        <v>0.89733470000000004</v>
      </c>
      <c r="AJ2">
        <v>0</v>
      </c>
      <c r="AK2">
        <v>1.052290537</v>
      </c>
      <c r="AL2">
        <v>92.426072559999994</v>
      </c>
      <c r="AM2">
        <v>11.518796760000001</v>
      </c>
      <c r="AN2">
        <v>11.82269413</v>
      </c>
      <c r="AO2">
        <v>9.2539594738937109E-2</v>
      </c>
      <c r="AP2">
        <v>8.9082044641485858</v>
      </c>
      <c r="AQ2">
        <v>0.17517801592836721</v>
      </c>
    </row>
    <row r="3" spans="1:43" x14ac:dyDescent="0.3">
      <c r="A3" t="s">
        <v>104</v>
      </c>
      <c r="B3" t="s">
        <v>109</v>
      </c>
      <c r="C3">
        <v>50.123545999999997</v>
      </c>
      <c r="D3">
        <v>-103.491725</v>
      </c>
      <c r="E3" s="1">
        <v>44361</v>
      </c>
      <c r="F3">
        <v>165</v>
      </c>
      <c r="G3">
        <v>2.2999999999999998</v>
      </c>
      <c r="H3" s="4">
        <v>520</v>
      </c>
      <c r="I3">
        <v>509758</v>
      </c>
      <c r="J3">
        <v>185</v>
      </c>
      <c r="K3">
        <v>17.600000000000001</v>
      </c>
      <c r="L3">
        <v>1.46</v>
      </c>
      <c r="M3">
        <v>755</v>
      </c>
      <c r="N3">
        <v>648</v>
      </c>
      <c r="O3">
        <v>0.37</v>
      </c>
      <c r="P3">
        <v>7.49</v>
      </c>
      <c r="Q3">
        <v>32.83</v>
      </c>
      <c r="R3">
        <v>15.37</v>
      </c>
      <c r="S3">
        <v>198</v>
      </c>
      <c r="T3">
        <v>168</v>
      </c>
      <c r="U3">
        <v>1260</v>
      </c>
      <c r="V3">
        <v>1054</v>
      </c>
      <c r="W3">
        <v>4440</v>
      </c>
      <c r="X3">
        <v>22.424242419999999</v>
      </c>
      <c r="Y3">
        <v>1.18</v>
      </c>
      <c r="Z3">
        <v>0.5</v>
      </c>
      <c r="AA3">
        <f t="shared" ref="AA3:AA52" si="0">Z3/Y3</f>
        <v>0.42372881355932207</v>
      </c>
      <c r="AB3">
        <v>0</v>
      </c>
      <c r="AC3">
        <v>4.9536368999999997E-2</v>
      </c>
      <c r="AD3">
        <v>0.156298305</v>
      </c>
      <c r="AE3">
        <v>0.183469511</v>
      </c>
      <c r="AF3">
        <v>0</v>
      </c>
      <c r="AG3">
        <v>0.323311344</v>
      </c>
      <c r="AH3">
        <v>3.457229E-3</v>
      </c>
      <c r="AJ3">
        <v>3.0281010000000001E-3</v>
      </c>
      <c r="AK3">
        <v>0</v>
      </c>
      <c r="AL3">
        <v>1.008452262</v>
      </c>
      <c r="AM3">
        <v>0</v>
      </c>
      <c r="AO3">
        <v>6.2634736755315376E-2</v>
      </c>
      <c r="AP3">
        <v>6.3024118623499774</v>
      </c>
      <c r="AQ3">
        <v>9.7010238456559969E-2</v>
      </c>
    </row>
    <row r="4" spans="1:43" x14ac:dyDescent="0.3">
      <c r="A4" t="s">
        <v>104</v>
      </c>
      <c r="B4" t="s">
        <v>109</v>
      </c>
      <c r="C4">
        <v>50.123545999999997</v>
      </c>
      <c r="D4">
        <v>-103.491725</v>
      </c>
      <c r="E4" s="1">
        <v>44368</v>
      </c>
      <c r="F4">
        <v>172</v>
      </c>
      <c r="G4">
        <v>2.5</v>
      </c>
      <c r="H4" s="4">
        <v>488.87999999999994</v>
      </c>
      <c r="I4">
        <v>487950</v>
      </c>
      <c r="J4">
        <v>78</v>
      </c>
      <c r="K4">
        <v>17.600000000000001</v>
      </c>
      <c r="L4">
        <v>7.59</v>
      </c>
      <c r="M4">
        <v>779</v>
      </c>
      <c r="N4">
        <v>668</v>
      </c>
      <c r="O4">
        <v>0.38</v>
      </c>
      <c r="P4">
        <v>7.91</v>
      </c>
      <c r="Q4">
        <v>31.73</v>
      </c>
      <c r="R4">
        <v>15.04</v>
      </c>
      <c r="S4">
        <v>220</v>
      </c>
      <c r="T4">
        <v>167</v>
      </c>
      <c r="U4">
        <v>438</v>
      </c>
      <c r="V4">
        <v>1360</v>
      </c>
      <c r="W4">
        <v>3950</v>
      </c>
      <c r="X4">
        <v>17.954545450000001</v>
      </c>
      <c r="Y4">
        <v>58.74</v>
      </c>
      <c r="Z4">
        <v>56.03</v>
      </c>
      <c r="AA4">
        <f t="shared" si="0"/>
        <v>0.95386448757235276</v>
      </c>
      <c r="AB4">
        <v>0.66839564299999998</v>
      </c>
      <c r="AC4">
        <v>9.9508496000000002E-2</v>
      </c>
      <c r="AD4">
        <v>1.118834578</v>
      </c>
      <c r="AE4">
        <v>9.5548125030000008</v>
      </c>
      <c r="AF4">
        <v>0.95271399099999998</v>
      </c>
      <c r="AG4">
        <v>7.4921023590000004</v>
      </c>
      <c r="AH4">
        <v>0.12820257400000001</v>
      </c>
      <c r="AI4">
        <v>3.1186360000000002E-3</v>
      </c>
      <c r="AJ4">
        <v>0</v>
      </c>
      <c r="AK4">
        <v>0</v>
      </c>
      <c r="AL4">
        <v>29.561746159999998</v>
      </c>
      <c r="AM4">
        <v>1.0617665119999999</v>
      </c>
      <c r="AN4">
        <v>0.88309116399999998</v>
      </c>
      <c r="AP4">
        <v>7.4928748479531544</v>
      </c>
    </row>
    <row r="5" spans="1:43" x14ac:dyDescent="0.3">
      <c r="A5" t="s">
        <v>104</v>
      </c>
      <c r="B5" t="s">
        <v>109</v>
      </c>
      <c r="C5">
        <v>50.123545999999997</v>
      </c>
      <c r="D5">
        <v>-103.491725</v>
      </c>
      <c r="E5" s="1">
        <v>44375</v>
      </c>
      <c r="F5">
        <v>179</v>
      </c>
      <c r="G5">
        <v>2.4</v>
      </c>
      <c r="H5" s="4">
        <v>488.87999999999994</v>
      </c>
      <c r="I5">
        <v>510015</v>
      </c>
      <c r="J5">
        <v>129.69999999999999</v>
      </c>
      <c r="K5">
        <v>20.7</v>
      </c>
      <c r="L5">
        <v>4.2699999999999996</v>
      </c>
      <c r="M5">
        <v>716</v>
      </c>
      <c r="N5">
        <v>656</v>
      </c>
      <c r="O5">
        <v>0.35</v>
      </c>
      <c r="P5">
        <v>8.23</v>
      </c>
      <c r="Q5">
        <v>36.99</v>
      </c>
      <c r="R5">
        <v>15.06</v>
      </c>
      <c r="S5">
        <v>158</v>
      </c>
      <c r="T5">
        <v>80</v>
      </c>
      <c r="U5">
        <v>177</v>
      </c>
      <c r="V5">
        <v>324</v>
      </c>
      <c r="W5">
        <v>2930</v>
      </c>
      <c r="X5">
        <v>18.544303800000002</v>
      </c>
      <c r="Y5">
        <v>14.36</v>
      </c>
      <c r="Z5">
        <v>5.7</v>
      </c>
      <c r="AA5">
        <f t="shared" si="0"/>
        <v>0.39693593314763231</v>
      </c>
      <c r="AB5">
        <v>1.4448287000000001E-2</v>
      </c>
      <c r="AC5">
        <v>0.122177649</v>
      </c>
      <c r="AD5">
        <v>1.2242597120000001</v>
      </c>
      <c r="AE5">
        <v>1.49904474</v>
      </c>
      <c r="AF5">
        <v>1.372906221</v>
      </c>
      <c r="AG5">
        <v>1.09208522</v>
      </c>
      <c r="AH5">
        <v>2.0266052999999999E-2</v>
      </c>
      <c r="AI5">
        <v>1.0333093999999999E-2</v>
      </c>
      <c r="AJ5">
        <v>0</v>
      </c>
      <c r="AK5">
        <v>2.8098422000000001E-2</v>
      </c>
      <c r="AL5">
        <v>5.0879078780000002</v>
      </c>
      <c r="AM5">
        <v>0.59065219099999999</v>
      </c>
      <c r="AN5">
        <v>9.9282744000000006E-2</v>
      </c>
      <c r="AO5">
        <v>0.1086525158605656</v>
      </c>
      <c r="AP5">
        <v>7.6469575348223424</v>
      </c>
      <c r="AQ5">
        <v>0.23730555876729156</v>
      </c>
    </row>
    <row r="6" spans="1:43" x14ac:dyDescent="0.3">
      <c r="A6" t="s">
        <v>104</v>
      </c>
      <c r="B6" t="s">
        <v>109</v>
      </c>
      <c r="C6">
        <v>50.123545999999997</v>
      </c>
      <c r="D6">
        <v>-103.491725</v>
      </c>
      <c r="E6" s="1">
        <v>44382</v>
      </c>
      <c r="F6">
        <v>186</v>
      </c>
      <c r="G6">
        <v>2.4</v>
      </c>
      <c r="H6" s="4">
        <v>514.71</v>
      </c>
      <c r="I6">
        <v>532080</v>
      </c>
      <c r="J6">
        <v>169.7</v>
      </c>
      <c r="K6">
        <v>23.7</v>
      </c>
      <c r="L6">
        <v>1.21</v>
      </c>
      <c r="M6">
        <v>534</v>
      </c>
      <c r="N6">
        <v>801</v>
      </c>
      <c r="O6">
        <v>0.4</v>
      </c>
      <c r="P6">
        <v>7.39</v>
      </c>
      <c r="Q6">
        <v>35.020000000000003</v>
      </c>
      <c r="R6">
        <v>17.420000000000002</v>
      </c>
      <c r="S6">
        <v>328</v>
      </c>
      <c r="T6">
        <v>273</v>
      </c>
      <c r="U6">
        <v>45</v>
      </c>
      <c r="V6">
        <v>1250</v>
      </c>
      <c r="W6">
        <v>3700</v>
      </c>
      <c r="X6">
        <v>11.2804878</v>
      </c>
      <c r="Y6">
        <v>34.24</v>
      </c>
      <c r="Z6">
        <v>5.41</v>
      </c>
      <c r="AA6">
        <f t="shared" si="0"/>
        <v>0.15800233644859812</v>
      </c>
      <c r="AB6">
        <v>0</v>
      </c>
      <c r="AC6">
        <v>1.240410596</v>
      </c>
      <c r="AD6">
        <v>4.8562265699999996</v>
      </c>
      <c r="AE6">
        <v>0.97372520200000001</v>
      </c>
      <c r="AF6">
        <v>0.671022114</v>
      </c>
      <c r="AG6">
        <v>0.49714164700000002</v>
      </c>
      <c r="AH6">
        <v>2.4530949E-2</v>
      </c>
      <c r="AI6">
        <v>1.8499755999999999E-2</v>
      </c>
      <c r="AJ6">
        <v>0</v>
      </c>
      <c r="AK6">
        <v>0</v>
      </c>
      <c r="AL6">
        <v>14.318825800000001</v>
      </c>
      <c r="AM6">
        <v>1.3902573300000001</v>
      </c>
      <c r="AN6">
        <v>7.5282896000000002E-2</v>
      </c>
      <c r="AO6">
        <v>0.13319797378138296</v>
      </c>
      <c r="AP6">
        <v>9.2312502858632275</v>
      </c>
      <c r="AQ6">
        <v>0.1523872448883975</v>
      </c>
    </row>
    <row r="7" spans="1:43" x14ac:dyDescent="0.3">
      <c r="A7" t="s">
        <v>104</v>
      </c>
      <c r="B7" t="s">
        <v>109</v>
      </c>
      <c r="C7">
        <v>50.123545999999997</v>
      </c>
      <c r="D7">
        <v>-103.491725</v>
      </c>
      <c r="E7" s="1">
        <v>44389</v>
      </c>
      <c r="F7">
        <v>193</v>
      </c>
      <c r="G7">
        <v>2.2999999999999998</v>
      </c>
      <c r="H7" s="4">
        <v>509.65199999999999</v>
      </c>
      <c r="I7">
        <v>518337</v>
      </c>
      <c r="J7">
        <v>80</v>
      </c>
      <c r="K7">
        <v>22.7</v>
      </c>
      <c r="L7">
        <v>2.61</v>
      </c>
      <c r="M7">
        <v>775</v>
      </c>
      <c r="N7">
        <v>733</v>
      </c>
      <c r="O7">
        <v>0.38</v>
      </c>
      <c r="P7">
        <v>7.57</v>
      </c>
      <c r="Q7">
        <v>39.619999999999997</v>
      </c>
      <c r="R7">
        <v>16.239999999999998</v>
      </c>
      <c r="S7">
        <v>464</v>
      </c>
      <c r="T7">
        <v>433</v>
      </c>
      <c r="U7">
        <v>107</v>
      </c>
      <c r="V7">
        <v>1975</v>
      </c>
      <c r="W7">
        <v>4520</v>
      </c>
      <c r="X7">
        <v>9.7413793099999992</v>
      </c>
      <c r="Y7">
        <v>67.45</v>
      </c>
      <c r="Z7">
        <v>27.99</v>
      </c>
      <c r="AA7">
        <f t="shared" si="0"/>
        <v>0.41497405485544842</v>
      </c>
      <c r="AB7">
        <v>0.29582211400000002</v>
      </c>
      <c r="AC7">
        <v>1.0430323669999999</v>
      </c>
      <c r="AD7">
        <v>0.32007188399999997</v>
      </c>
      <c r="AE7">
        <v>3.3964431629999998</v>
      </c>
      <c r="AF7">
        <v>3.3424111619999999</v>
      </c>
      <c r="AG7">
        <v>3.2462809190000002</v>
      </c>
      <c r="AI7">
        <v>4.0512054999999998E-2</v>
      </c>
      <c r="AJ7">
        <v>0</v>
      </c>
      <c r="AK7">
        <v>0</v>
      </c>
      <c r="AL7">
        <v>6.1074894710000001</v>
      </c>
      <c r="AM7">
        <v>1.6960791129999999</v>
      </c>
      <c r="AN7">
        <v>0.47351758799999999</v>
      </c>
      <c r="AO7">
        <v>8.328292133361416E-2</v>
      </c>
      <c r="AP7">
        <v>5.906801354570395</v>
      </c>
      <c r="AQ7">
        <v>0.17510422743028009</v>
      </c>
    </row>
    <row r="8" spans="1:43" x14ac:dyDescent="0.3">
      <c r="A8" t="s">
        <v>104</v>
      </c>
      <c r="B8" t="s">
        <v>109</v>
      </c>
      <c r="C8">
        <v>50.123545999999997</v>
      </c>
      <c r="D8">
        <v>-103.491725</v>
      </c>
      <c r="E8" s="1">
        <v>44396</v>
      </c>
      <c r="F8">
        <v>200</v>
      </c>
      <c r="G8">
        <v>2.2999999999999998</v>
      </c>
      <c r="H8" s="4">
        <v>499.40800000000007</v>
      </c>
      <c r="I8">
        <v>498806</v>
      </c>
      <c r="J8">
        <v>101.7</v>
      </c>
      <c r="K8">
        <v>22</v>
      </c>
      <c r="L8">
        <v>2.73</v>
      </c>
      <c r="M8">
        <v>857</v>
      </c>
      <c r="N8">
        <v>806</v>
      </c>
      <c r="O8">
        <v>0.43</v>
      </c>
      <c r="P8">
        <v>7.48</v>
      </c>
      <c r="Q8">
        <v>37.14</v>
      </c>
      <c r="R8">
        <v>16.95</v>
      </c>
      <c r="S8">
        <v>364</v>
      </c>
      <c r="T8">
        <v>317</v>
      </c>
      <c r="U8">
        <v>10</v>
      </c>
      <c r="V8">
        <v>1180</v>
      </c>
      <c r="W8">
        <v>3530</v>
      </c>
      <c r="X8">
        <v>9.6978021979999998</v>
      </c>
      <c r="Y8">
        <v>78.8</v>
      </c>
      <c r="Z8">
        <v>41.36</v>
      </c>
      <c r="AA8">
        <f t="shared" si="0"/>
        <v>0.52487309644670055</v>
      </c>
      <c r="AB8">
        <v>0</v>
      </c>
      <c r="AC8">
        <v>5.0401971369999998</v>
      </c>
      <c r="AD8">
        <v>2.0073684840000001</v>
      </c>
      <c r="AE8">
        <v>7.1296488660000001</v>
      </c>
      <c r="AF8">
        <v>12.67510019</v>
      </c>
      <c r="AG8">
        <v>6.7944833459999998</v>
      </c>
      <c r="AI8">
        <v>0.120992919</v>
      </c>
      <c r="AJ8">
        <v>0</v>
      </c>
      <c r="AK8">
        <v>0</v>
      </c>
      <c r="AL8">
        <v>13.492836730000001</v>
      </c>
      <c r="AM8">
        <v>3.381514288</v>
      </c>
      <c r="AN8">
        <v>0.75558428200000005</v>
      </c>
      <c r="AO8">
        <v>6.0792771871704697E-2</v>
      </c>
      <c r="AP8">
        <v>7.8482552088713371</v>
      </c>
      <c r="AQ8">
        <v>0.13261742874781535</v>
      </c>
    </row>
    <row r="9" spans="1:43" x14ac:dyDescent="0.3">
      <c r="A9" t="s">
        <v>104</v>
      </c>
      <c r="B9" t="s">
        <v>109</v>
      </c>
      <c r="C9">
        <v>50.123545999999997</v>
      </c>
      <c r="D9">
        <v>-103.491725</v>
      </c>
      <c r="E9" s="1">
        <v>44403</v>
      </c>
      <c r="F9">
        <v>207</v>
      </c>
      <c r="G9">
        <v>1.9</v>
      </c>
      <c r="H9" s="4">
        <v>481.25</v>
      </c>
      <c r="I9">
        <v>460057</v>
      </c>
      <c r="J9">
        <v>52</v>
      </c>
      <c r="K9">
        <v>21.300000000000004</v>
      </c>
      <c r="L9">
        <v>13.51</v>
      </c>
      <c r="M9">
        <v>744</v>
      </c>
      <c r="N9">
        <v>689</v>
      </c>
      <c r="O9">
        <v>0.36</v>
      </c>
      <c r="P9">
        <v>8.35</v>
      </c>
      <c r="Q9">
        <v>40.19</v>
      </c>
      <c r="R9">
        <v>16.89</v>
      </c>
      <c r="S9">
        <v>118</v>
      </c>
      <c r="T9">
        <v>62</v>
      </c>
      <c r="U9">
        <v>88</v>
      </c>
      <c r="V9">
        <v>426</v>
      </c>
      <c r="W9">
        <v>2720</v>
      </c>
      <c r="X9">
        <v>23.05084746</v>
      </c>
      <c r="Y9">
        <v>179.06</v>
      </c>
      <c r="Z9">
        <v>107.66</v>
      </c>
      <c r="AA9">
        <f t="shared" si="0"/>
        <v>0.60125097732603594</v>
      </c>
      <c r="AB9">
        <v>0.56345404700000001</v>
      </c>
      <c r="AC9">
        <v>0.47035687500000001</v>
      </c>
      <c r="AD9">
        <v>23.309757999999999</v>
      </c>
      <c r="AE9">
        <v>12.882823500000001</v>
      </c>
      <c r="AF9">
        <v>3.5495294300000002</v>
      </c>
      <c r="AG9">
        <v>6.9773281120000004</v>
      </c>
      <c r="AI9">
        <v>0.23708391500000001</v>
      </c>
      <c r="AJ9">
        <v>0</v>
      </c>
      <c r="AK9">
        <v>0</v>
      </c>
      <c r="AL9">
        <v>77.958453610000007</v>
      </c>
      <c r="AM9">
        <v>6.3078588939999998</v>
      </c>
      <c r="AN9">
        <v>0.95148444399999998</v>
      </c>
      <c r="AP9">
        <v>9.9622718883527348</v>
      </c>
    </row>
    <row r="10" spans="1:43" x14ac:dyDescent="0.3">
      <c r="A10" t="s">
        <v>104</v>
      </c>
      <c r="B10" t="s">
        <v>109</v>
      </c>
      <c r="C10">
        <v>50.123545999999997</v>
      </c>
      <c r="D10">
        <v>-103.491725</v>
      </c>
      <c r="E10" s="1">
        <v>44411</v>
      </c>
      <c r="F10">
        <v>215</v>
      </c>
      <c r="G10">
        <v>2</v>
      </c>
      <c r="H10" s="4">
        <v>456.28</v>
      </c>
      <c r="I10">
        <v>438080</v>
      </c>
      <c r="J10">
        <v>31.3</v>
      </c>
      <c r="K10">
        <v>19.100000000000001</v>
      </c>
      <c r="L10">
        <v>5.96</v>
      </c>
      <c r="M10">
        <v>769</v>
      </c>
      <c r="N10">
        <v>700</v>
      </c>
      <c r="O10">
        <v>0.38</v>
      </c>
      <c r="P10">
        <v>7.96</v>
      </c>
      <c r="Q10">
        <v>36.14</v>
      </c>
      <c r="R10">
        <v>18.91</v>
      </c>
      <c r="S10">
        <v>501</v>
      </c>
      <c r="T10">
        <v>440</v>
      </c>
      <c r="U10">
        <v>28</v>
      </c>
      <c r="V10">
        <v>3035</v>
      </c>
      <c r="W10">
        <v>8280</v>
      </c>
      <c r="X10">
        <v>16.526946110000001</v>
      </c>
      <c r="Y10">
        <v>222.72</v>
      </c>
      <c r="Z10">
        <v>68.64</v>
      </c>
      <c r="AA10">
        <f t="shared" si="0"/>
        <v>0.30818965517241381</v>
      </c>
      <c r="AB10">
        <v>6.1340877530000002</v>
      </c>
      <c r="AC10">
        <v>12.002220189999999</v>
      </c>
      <c r="AD10">
        <v>13.74928261</v>
      </c>
      <c r="AE10">
        <v>12.075644580000001</v>
      </c>
      <c r="AF10">
        <v>19.182455900000001</v>
      </c>
      <c r="AG10">
        <v>9.6420886130000003</v>
      </c>
      <c r="AH10">
        <v>0.51284240299999995</v>
      </c>
      <c r="AI10">
        <v>0.35582767900000001</v>
      </c>
      <c r="AJ10">
        <v>0</v>
      </c>
      <c r="AK10">
        <v>0.35941991200000001</v>
      </c>
      <c r="AL10">
        <v>57.82018815</v>
      </c>
      <c r="AM10">
        <v>11.056408510000001</v>
      </c>
      <c r="AN10">
        <v>1.731820264</v>
      </c>
      <c r="AO10">
        <v>6.6892468870149963E-2</v>
      </c>
      <c r="AP10">
        <v>5.7358175566848928</v>
      </c>
      <c r="AQ10">
        <v>0.18593865887528052</v>
      </c>
    </row>
    <row r="11" spans="1:43" x14ac:dyDescent="0.3">
      <c r="A11" t="s">
        <v>104</v>
      </c>
      <c r="B11" t="s">
        <v>109</v>
      </c>
      <c r="C11">
        <v>50.123545999999997</v>
      </c>
      <c r="D11">
        <v>-103.491725</v>
      </c>
      <c r="E11" s="1">
        <v>44417</v>
      </c>
      <c r="F11">
        <v>221</v>
      </c>
      <c r="G11">
        <v>1.7</v>
      </c>
      <c r="H11" s="4">
        <v>436.73000000000008</v>
      </c>
      <c r="I11">
        <v>396984</v>
      </c>
      <c r="J11">
        <v>14.3</v>
      </c>
      <c r="K11">
        <v>20.399999999999999</v>
      </c>
      <c r="L11">
        <v>6.53</v>
      </c>
      <c r="M11">
        <v>753</v>
      </c>
      <c r="N11">
        <v>682</v>
      </c>
      <c r="O11">
        <v>0.37</v>
      </c>
      <c r="P11">
        <v>8.5</v>
      </c>
      <c r="Q11">
        <v>31.5</v>
      </c>
      <c r="R11">
        <v>18.190000000000001</v>
      </c>
      <c r="S11">
        <v>70</v>
      </c>
      <c r="T11">
        <v>31</v>
      </c>
      <c r="U11">
        <v>36</v>
      </c>
      <c r="V11">
        <v>2380</v>
      </c>
      <c r="W11">
        <v>5020</v>
      </c>
      <c r="X11">
        <v>71.714285709999999</v>
      </c>
      <c r="Y11">
        <v>277.35000000000002</v>
      </c>
      <c r="Z11">
        <v>158.74</v>
      </c>
      <c r="AA11">
        <f t="shared" si="0"/>
        <v>0.57234541193437893</v>
      </c>
      <c r="AB11">
        <v>9.3918114569999993</v>
      </c>
      <c r="AC11">
        <v>5.0683735729999997</v>
      </c>
      <c r="AD11">
        <v>14.51195562</v>
      </c>
      <c r="AE11">
        <v>8.9573422429999994</v>
      </c>
      <c r="AF11">
        <v>3.776577171</v>
      </c>
      <c r="AG11">
        <v>7.7757118700000003</v>
      </c>
      <c r="AH11">
        <v>0.387887592</v>
      </c>
      <c r="AI11">
        <v>0.39619056000000002</v>
      </c>
      <c r="AJ11">
        <v>0</v>
      </c>
      <c r="AK11">
        <v>1.894922969</v>
      </c>
      <c r="AL11">
        <v>46.371683879999999</v>
      </c>
      <c r="AM11">
        <v>8.2473623979999999</v>
      </c>
      <c r="AN11">
        <v>2.0210888979999999</v>
      </c>
      <c r="AP11">
        <v>25.864225816731015</v>
      </c>
    </row>
    <row r="12" spans="1:43" x14ac:dyDescent="0.3">
      <c r="A12" t="s">
        <v>104</v>
      </c>
      <c r="B12" t="s">
        <v>109</v>
      </c>
      <c r="C12">
        <v>50.123545999999997</v>
      </c>
      <c r="D12">
        <v>-103.491725</v>
      </c>
      <c r="E12" s="1">
        <v>44424</v>
      </c>
      <c r="F12">
        <v>228</v>
      </c>
      <c r="G12">
        <v>2</v>
      </c>
      <c r="H12" s="4">
        <v>415.28</v>
      </c>
      <c r="I12">
        <v>377840</v>
      </c>
      <c r="J12">
        <v>28.7</v>
      </c>
      <c r="K12">
        <v>17.5</v>
      </c>
      <c r="L12">
        <v>8.58</v>
      </c>
      <c r="M12">
        <v>766</v>
      </c>
      <c r="N12">
        <v>655</v>
      </c>
      <c r="O12">
        <v>0.38</v>
      </c>
      <c r="P12">
        <v>8.26</v>
      </c>
      <c r="Q12">
        <v>27.96</v>
      </c>
      <c r="R12">
        <v>19.04</v>
      </c>
      <c r="S12">
        <v>130</v>
      </c>
      <c r="T12">
        <v>71</v>
      </c>
      <c r="U12">
        <v>206</v>
      </c>
      <c r="V12">
        <v>905</v>
      </c>
      <c r="W12">
        <v>4700</v>
      </c>
      <c r="X12">
        <v>36.15384615</v>
      </c>
      <c r="Y12">
        <v>252.55</v>
      </c>
      <c r="Z12">
        <v>402.45</v>
      </c>
      <c r="AA12">
        <f t="shared" si="0"/>
        <v>1.593545832508414</v>
      </c>
      <c r="AB12">
        <v>2.7721011309999999</v>
      </c>
      <c r="AC12">
        <v>4.2175946089999998</v>
      </c>
      <c r="AD12">
        <v>76.354304909999996</v>
      </c>
      <c r="AE12">
        <v>27.40718266</v>
      </c>
      <c r="AF12">
        <v>7.9222792999999996</v>
      </c>
      <c r="AG12">
        <v>18.828605110000002</v>
      </c>
      <c r="AH12">
        <v>1.7503070220000001</v>
      </c>
      <c r="AI12">
        <v>0.38631698799999997</v>
      </c>
      <c r="AJ12">
        <v>0</v>
      </c>
      <c r="AK12">
        <v>2.1970701909999999</v>
      </c>
      <c r="AL12">
        <v>205.50187159999999</v>
      </c>
      <c r="AM12">
        <v>23.716913909999999</v>
      </c>
      <c r="AN12">
        <v>10.356142650000001</v>
      </c>
      <c r="AO12">
        <v>8.419181688334626E-2</v>
      </c>
      <c r="AP12">
        <v>12.454658891531231</v>
      </c>
      <c r="AQ12">
        <v>0.35234572216129867</v>
      </c>
    </row>
    <row r="13" spans="1:43" x14ac:dyDescent="0.3">
      <c r="A13" t="s">
        <v>104</v>
      </c>
      <c r="B13" t="s">
        <v>109</v>
      </c>
      <c r="C13">
        <v>50.123545999999997</v>
      </c>
      <c r="D13">
        <v>-103.491725</v>
      </c>
      <c r="E13" s="1">
        <v>44434</v>
      </c>
      <c r="F13">
        <v>238</v>
      </c>
      <c r="G13">
        <v>1.9</v>
      </c>
      <c r="H13" s="4">
        <v>432.89</v>
      </c>
      <c r="I13">
        <v>399393</v>
      </c>
      <c r="J13">
        <v>16.7</v>
      </c>
      <c r="K13">
        <v>14</v>
      </c>
      <c r="L13">
        <v>6.16</v>
      </c>
      <c r="M13">
        <v>731</v>
      </c>
      <c r="N13">
        <v>579</v>
      </c>
      <c r="O13">
        <v>0.36000000000000004</v>
      </c>
      <c r="P13">
        <v>8.39</v>
      </c>
      <c r="Q13">
        <v>26.91</v>
      </c>
      <c r="R13">
        <v>20.27</v>
      </c>
      <c r="S13">
        <v>79</v>
      </c>
      <c r="T13">
        <v>42</v>
      </c>
      <c r="U13">
        <v>124</v>
      </c>
      <c r="V13">
        <v>2030</v>
      </c>
      <c r="W13">
        <v>4780</v>
      </c>
      <c r="X13">
        <v>60.506329110000003</v>
      </c>
      <c r="Y13">
        <v>382.33</v>
      </c>
      <c r="Z13">
        <v>832.12</v>
      </c>
      <c r="AA13">
        <f t="shared" si="0"/>
        <v>2.1764444328198156</v>
      </c>
      <c r="AB13">
        <v>0.27251920299999999</v>
      </c>
      <c r="AC13">
        <v>1.1871492729999999</v>
      </c>
      <c r="AD13">
        <v>29.87882063</v>
      </c>
      <c r="AE13">
        <v>9.682114747</v>
      </c>
      <c r="AF13">
        <v>2.311786798</v>
      </c>
      <c r="AG13">
        <v>6.1143344409999996</v>
      </c>
      <c r="AH13">
        <v>0.39585872999999999</v>
      </c>
      <c r="AI13">
        <v>0.209759895</v>
      </c>
      <c r="AJ13">
        <v>0</v>
      </c>
      <c r="AK13">
        <v>0.89704837100000001</v>
      </c>
      <c r="AL13">
        <v>67.799325190000005</v>
      </c>
      <c r="AM13">
        <v>11.31837848</v>
      </c>
      <c r="AN13">
        <v>2.857951076</v>
      </c>
      <c r="AO13">
        <v>6.8805166807844056E-2</v>
      </c>
      <c r="AP13">
        <v>10.641666294800565</v>
      </c>
      <c r="AQ13">
        <v>0.12534995055707804</v>
      </c>
    </row>
    <row r="14" spans="1:43" ht="16.2" customHeight="1" x14ac:dyDescent="0.3">
      <c r="A14" t="s">
        <v>104</v>
      </c>
      <c r="B14" t="s">
        <v>109</v>
      </c>
      <c r="C14">
        <v>50.123545999999997</v>
      </c>
      <c r="D14">
        <v>-103.491725</v>
      </c>
      <c r="E14" s="1">
        <v>44441</v>
      </c>
      <c r="F14">
        <v>245</v>
      </c>
      <c r="G14">
        <v>1.6</v>
      </c>
      <c r="H14" s="4">
        <v>421.2</v>
      </c>
      <c r="I14">
        <v>226624</v>
      </c>
      <c r="J14">
        <v>25.7</v>
      </c>
      <c r="K14">
        <v>15.3</v>
      </c>
      <c r="L14">
        <v>2.72</v>
      </c>
      <c r="M14">
        <v>760</v>
      </c>
      <c r="N14">
        <v>616</v>
      </c>
      <c r="O14">
        <v>0.37</v>
      </c>
      <c r="P14">
        <v>8.4600000000000009</v>
      </c>
      <c r="Q14">
        <v>27.35</v>
      </c>
      <c r="R14">
        <v>20.010000000000002</v>
      </c>
      <c r="S14">
        <v>62</v>
      </c>
      <c r="T14">
        <v>30</v>
      </c>
      <c r="U14">
        <v>226</v>
      </c>
      <c r="V14">
        <v>1495</v>
      </c>
      <c r="W14">
        <v>5440</v>
      </c>
      <c r="X14">
        <v>87.741935479999995</v>
      </c>
      <c r="Y14">
        <v>460.46</v>
      </c>
      <c r="Z14">
        <v>457.67</v>
      </c>
      <c r="AA14">
        <f t="shared" si="0"/>
        <v>0.99394084176692876</v>
      </c>
      <c r="AB14">
        <v>0</v>
      </c>
      <c r="AC14">
        <v>11.804845070000001</v>
      </c>
      <c r="AD14">
        <v>53.3630596</v>
      </c>
      <c r="AE14">
        <v>8.7680105610000005</v>
      </c>
      <c r="AF14">
        <v>3.2518063079999999</v>
      </c>
      <c r="AG14">
        <v>6.0293181840000001</v>
      </c>
      <c r="AH14">
        <v>0.76009671099999998</v>
      </c>
      <c r="AI14">
        <v>0.62993055899999995</v>
      </c>
      <c r="AJ14">
        <v>0</v>
      </c>
      <c r="AK14">
        <v>0</v>
      </c>
      <c r="AL14">
        <v>153.6909177</v>
      </c>
      <c r="AM14">
        <v>28.284749290000001</v>
      </c>
      <c r="AN14">
        <v>8.9553905890000003</v>
      </c>
      <c r="AO14">
        <v>0.12769341981239737</v>
      </c>
      <c r="AP14">
        <v>12.877712437018209</v>
      </c>
      <c r="AQ14">
        <v>0.13662879975914069</v>
      </c>
    </row>
    <row r="15" spans="1:43" x14ac:dyDescent="0.3">
      <c r="A15" t="s">
        <v>105</v>
      </c>
      <c r="B15" t="s">
        <v>12</v>
      </c>
      <c r="C15">
        <v>50.123528</v>
      </c>
      <c r="D15">
        <v>-103.46643899999999</v>
      </c>
      <c r="E15" s="1">
        <v>44348</v>
      </c>
      <c r="F15">
        <v>152</v>
      </c>
      <c r="G15">
        <v>2.2000000000000002</v>
      </c>
      <c r="H15" s="4">
        <v>407</v>
      </c>
      <c r="I15">
        <v>458426</v>
      </c>
      <c r="J15">
        <v>15</v>
      </c>
      <c r="K15">
        <v>14.8</v>
      </c>
      <c r="L15">
        <v>9.3000000000000007</v>
      </c>
      <c r="M15">
        <v>1062</v>
      </c>
      <c r="N15">
        <v>857</v>
      </c>
      <c r="O15">
        <v>0.53</v>
      </c>
      <c r="P15">
        <v>8.44</v>
      </c>
      <c r="Q15">
        <v>46.34</v>
      </c>
      <c r="R15">
        <v>20.170000000000002</v>
      </c>
      <c r="S15">
        <v>991</v>
      </c>
      <c r="T15">
        <v>858</v>
      </c>
      <c r="U15">
        <v>513</v>
      </c>
      <c r="V15">
        <v>539</v>
      </c>
      <c r="W15">
        <v>3620</v>
      </c>
      <c r="X15">
        <v>3.6528758830000001</v>
      </c>
      <c r="Y15">
        <v>98.95</v>
      </c>
      <c r="Z15">
        <v>274.13</v>
      </c>
      <c r="AA15">
        <f t="shared" si="0"/>
        <v>2.7703890853966651</v>
      </c>
      <c r="AB15">
        <v>8.4872169159999995</v>
      </c>
      <c r="AC15">
        <v>0.90384808699999997</v>
      </c>
      <c r="AD15">
        <v>9.1125039749999992</v>
      </c>
      <c r="AE15">
        <v>14.34303364</v>
      </c>
      <c r="AF15">
        <v>3.5148689430000002</v>
      </c>
      <c r="AG15">
        <v>15.91407884</v>
      </c>
      <c r="AH15">
        <v>0.58923069699999997</v>
      </c>
      <c r="AI15">
        <v>0.136269208</v>
      </c>
      <c r="AJ15">
        <v>0</v>
      </c>
      <c r="AK15">
        <v>0</v>
      </c>
      <c r="AL15">
        <v>65.04551549</v>
      </c>
      <c r="AM15">
        <v>6.5030853159999999</v>
      </c>
      <c r="AN15">
        <v>3.0898860789999998</v>
      </c>
      <c r="AO15">
        <v>6.088412470484051E-2</v>
      </c>
      <c r="AP15">
        <v>8.8199024669146642</v>
      </c>
      <c r="AQ15">
        <v>0.15242962840509397</v>
      </c>
    </row>
    <row r="16" spans="1:43" x14ac:dyDescent="0.3">
      <c r="A16" t="s">
        <v>105</v>
      </c>
      <c r="B16" t="s">
        <v>12</v>
      </c>
      <c r="C16">
        <v>50.123528</v>
      </c>
      <c r="D16">
        <v>-103.46643899999999</v>
      </c>
      <c r="E16" s="1">
        <v>44361</v>
      </c>
      <c r="F16">
        <v>165</v>
      </c>
      <c r="G16">
        <v>2.5</v>
      </c>
      <c r="H16" s="4">
        <v>407</v>
      </c>
      <c r="I16">
        <v>448214</v>
      </c>
      <c r="J16">
        <v>44</v>
      </c>
      <c r="K16">
        <v>15.6</v>
      </c>
      <c r="L16">
        <v>2.16</v>
      </c>
      <c r="M16">
        <v>1119</v>
      </c>
      <c r="N16">
        <v>920</v>
      </c>
      <c r="O16">
        <v>0.56000000000000005</v>
      </c>
      <c r="P16">
        <v>7.66</v>
      </c>
      <c r="Q16">
        <v>52.49</v>
      </c>
      <c r="R16">
        <v>23.77</v>
      </c>
      <c r="S16">
        <v>1540</v>
      </c>
      <c r="T16">
        <v>1420</v>
      </c>
      <c r="U16">
        <v>207</v>
      </c>
      <c r="V16">
        <v>2820</v>
      </c>
      <c r="W16">
        <v>5580</v>
      </c>
      <c r="X16">
        <v>3.623376623</v>
      </c>
      <c r="Z16">
        <v>0.04</v>
      </c>
      <c r="AB16">
        <v>0</v>
      </c>
      <c r="AC16">
        <v>3.0969956999999999E-2</v>
      </c>
      <c r="AD16">
        <v>1.5797281999999999E-2</v>
      </c>
      <c r="AF16">
        <v>0</v>
      </c>
      <c r="AG16">
        <v>3.3468030000000003E-2</v>
      </c>
      <c r="AH16">
        <v>4.8459099999999998E-4</v>
      </c>
      <c r="AJ16">
        <v>0</v>
      </c>
      <c r="AK16">
        <v>0</v>
      </c>
      <c r="AL16">
        <v>9.7631657999999996E-2</v>
      </c>
      <c r="AM16">
        <v>0</v>
      </c>
      <c r="AO16">
        <v>7.8861842622723194E-2</v>
      </c>
      <c r="AP16">
        <v>8.2116300925342696</v>
      </c>
      <c r="AQ16">
        <v>0.17287263416286003</v>
      </c>
    </row>
    <row r="17" spans="1:43" x14ac:dyDescent="0.3">
      <c r="A17" t="s">
        <v>105</v>
      </c>
      <c r="B17" t="s">
        <v>12</v>
      </c>
      <c r="C17">
        <v>50.123528</v>
      </c>
      <c r="D17">
        <v>-103.46643899999999</v>
      </c>
      <c r="E17" s="1">
        <v>44368</v>
      </c>
      <c r="F17">
        <v>172</v>
      </c>
      <c r="G17">
        <v>2.2999999999999998</v>
      </c>
      <c r="H17" s="4">
        <v>381.15</v>
      </c>
      <c r="I17">
        <v>438002</v>
      </c>
      <c r="J17">
        <v>42.7</v>
      </c>
      <c r="K17">
        <v>17.8</v>
      </c>
      <c r="L17">
        <v>4.41</v>
      </c>
      <c r="M17">
        <v>1170</v>
      </c>
      <c r="N17">
        <v>1008</v>
      </c>
      <c r="O17">
        <v>0.57999999999999996</v>
      </c>
      <c r="P17">
        <v>7.89</v>
      </c>
      <c r="Q17">
        <v>50.76</v>
      </c>
      <c r="R17">
        <v>22.86</v>
      </c>
      <c r="S17">
        <v>1670</v>
      </c>
      <c r="T17">
        <v>1520</v>
      </c>
      <c r="U17">
        <v>288</v>
      </c>
      <c r="V17">
        <v>2280</v>
      </c>
      <c r="W17">
        <v>6760</v>
      </c>
      <c r="X17">
        <v>4.0479041919999998</v>
      </c>
      <c r="Z17">
        <v>2.81</v>
      </c>
      <c r="AB17">
        <v>0</v>
      </c>
      <c r="AC17">
        <v>8.0848708000000005E-2</v>
      </c>
      <c r="AD17">
        <v>5.0559199999999999E-2</v>
      </c>
      <c r="AE17">
        <v>9.9711691000000005E-2</v>
      </c>
      <c r="AF17">
        <v>2.9550682000000002E-2</v>
      </c>
      <c r="AG17">
        <v>4.1878779999999997E-2</v>
      </c>
      <c r="AH17">
        <v>2.2641789999999998E-3</v>
      </c>
      <c r="AJ17">
        <v>0</v>
      </c>
      <c r="AK17">
        <v>0</v>
      </c>
      <c r="AL17">
        <v>0.456274925</v>
      </c>
      <c r="AM17">
        <v>1.5012605E-2</v>
      </c>
      <c r="AN17">
        <v>3.9701980000000003E-3</v>
      </c>
      <c r="AO17">
        <v>6.059839279411644E-2</v>
      </c>
      <c r="AP17">
        <v>11.030933688453683</v>
      </c>
      <c r="AQ17">
        <v>0.19029968215023416</v>
      </c>
    </row>
    <row r="18" spans="1:43" x14ac:dyDescent="0.3">
      <c r="A18" t="s">
        <v>105</v>
      </c>
      <c r="B18" t="s">
        <v>12</v>
      </c>
      <c r="C18">
        <v>50.123528</v>
      </c>
      <c r="D18">
        <v>-103.46643899999999</v>
      </c>
      <c r="E18" s="1">
        <v>44375</v>
      </c>
      <c r="F18">
        <v>179</v>
      </c>
      <c r="G18">
        <v>2.2000000000000002</v>
      </c>
      <c r="H18" s="4">
        <v>381.15</v>
      </c>
      <c r="I18">
        <v>429346</v>
      </c>
      <c r="K18">
        <v>20.3</v>
      </c>
      <c r="L18">
        <v>3.95</v>
      </c>
      <c r="M18">
        <v>1084</v>
      </c>
      <c r="N18">
        <v>987</v>
      </c>
      <c r="O18">
        <v>0.54</v>
      </c>
      <c r="P18">
        <v>7.94</v>
      </c>
      <c r="Q18">
        <v>52.3</v>
      </c>
      <c r="R18">
        <v>25.19</v>
      </c>
      <c r="S18">
        <v>1430</v>
      </c>
      <c r="T18">
        <v>1270</v>
      </c>
      <c r="U18">
        <v>500</v>
      </c>
      <c r="V18">
        <v>1550</v>
      </c>
      <c r="W18">
        <v>5320</v>
      </c>
      <c r="X18">
        <v>3.7202797200000002</v>
      </c>
      <c r="Y18">
        <v>22.26</v>
      </c>
      <c r="Z18">
        <v>57.74</v>
      </c>
      <c r="AA18">
        <f t="shared" si="0"/>
        <v>2.5938903863432166</v>
      </c>
      <c r="AB18">
        <v>0</v>
      </c>
      <c r="AC18">
        <v>7.5823870900000001</v>
      </c>
      <c r="AD18">
        <v>1.462156901</v>
      </c>
      <c r="AE18">
        <v>1.682826535</v>
      </c>
      <c r="AF18">
        <v>0.361995856</v>
      </c>
      <c r="AG18">
        <v>0.71560548499999999</v>
      </c>
      <c r="AH18">
        <v>7.7843836999999999E-2</v>
      </c>
      <c r="AI18">
        <v>1.9618969999999999E-2</v>
      </c>
      <c r="AJ18">
        <v>1.5674217000000001E-2</v>
      </c>
      <c r="AK18">
        <v>0</v>
      </c>
      <c r="AL18">
        <v>13.53473865</v>
      </c>
      <c r="AM18">
        <v>0.37531513300000002</v>
      </c>
      <c r="AN18">
        <v>0.25808272799999998</v>
      </c>
      <c r="AO18">
        <v>6.8160870790075712E-2</v>
      </c>
      <c r="AP18">
        <v>1.6955628687606408</v>
      </c>
      <c r="AQ18">
        <v>0.19283746622077508</v>
      </c>
    </row>
    <row r="19" spans="1:43" x14ac:dyDescent="0.3">
      <c r="A19" t="s">
        <v>105</v>
      </c>
      <c r="B19" t="s">
        <v>12</v>
      </c>
      <c r="C19">
        <v>50.123528</v>
      </c>
      <c r="D19">
        <v>-103.46643899999999</v>
      </c>
      <c r="E19" s="1">
        <v>44382</v>
      </c>
      <c r="F19">
        <v>186</v>
      </c>
      <c r="G19">
        <v>2</v>
      </c>
      <c r="H19" s="4">
        <v>372.32</v>
      </c>
      <c r="I19">
        <v>420690</v>
      </c>
      <c r="J19">
        <v>71</v>
      </c>
      <c r="K19">
        <v>20.7</v>
      </c>
      <c r="L19">
        <v>3.56</v>
      </c>
      <c r="M19">
        <v>1082</v>
      </c>
      <c r="N19">
        <v>773</v>
      </c>
      <c r="O19">
        <v>0.59</v>
      </c>
      <c r="P19">
        <v>7.94</v>
      </c>
      <c r="Q19">
        <v>54.42</v>
      </c>
      <c r="R19">
        <v>24.28</v>
      </c>
      <c r="S19">
        <v>1450</v>
      </c>
      <c r="T19">
        <v>1250</v>
      </c>
      <c r="U19">
        <v>141</v>
      </c>
      <c r="V19">
        <v>1810</v>
      </c>
      <c r="W19">
        <v>5110</v>
      </c>
      <c r="X19">
        <v>3.5241379309999998</v>
      </c>
      <c r="Y19">
        <v>15.08</v>
      </c>
      <c r="Z19">
        <v>14.22</v>
      </c>
      <c r="AA19">
        <f t="shared" si="0"/>
        <v>0.94297082228116713</v>
      </c>
      <c r="AB19">
        <v>0.144727568</v>
      </c>
      <c r="AC19">
        <v>0.97854949199999997</v>
      </c>
      <c r="AD19">
        <v>0.90059513099999999</v>
      </c>
      <c r="AE19">
        <v>1.520000631</v>
      </c>
      <c r="AF19">
        <v>2.798671224</v>
      </c>
      <c r="AG19">
        <v>2.0881283829999999</v>
      </c>
      <c r="AH19">
        <v>0.21792969000000001</v>
      </c>
      <c r="AI19">
        <v>0.218336172</v>
      </c>
      <c r="AJ19">
        <v>0.41320494899999999</v>
      </c>
      <c r="AK19">
        <v>0.25367175600000003</v>
      </c>
      <c r="AL19">
        <v>5.1214127979999997</v>
      </c>
      <c r="AM19">
        <v>2.2400833859999998</v>
      </c>
      <c r="AN19">
        <v>0.79417143199999995</v>
      </c>
      <c r="AO19">
        <v>8.5226720307815695E-2</v>
      </c>
      <c r="AP19">
        <v>10.063899106768211</v>
      </c>
      <c r="AQ19">
        <v>0.12033969918998851</v>
      </c>
    </row>
    <row r="20" spans="1:43" x14ac:dyDescent="0.3">
      <c r="A20" t="s">
        <v>105</v>
      </c>
      <c r="B20" t="s">
        <v>12</v>
      </c>
      <c r="C20">
        <v>50.123528</v>
      </c>
      <c r="D20">
        <v>-103.46643899999999</v>
      </c>
      <c r="E20" s="1">
        <v>44389</v>
      </c>
      <c r="F20">
        <v>193</v>
      </c>
      <c r="G20">
        <v>2</v>
      </c>
      <c r="H20" s="4">
        <v>366.68000000000006</v>
      </c>
      <c r="I20">
        <v>406130</v>
      </c>
      <c r="J20">
        <v>58.7</v>
      </c>
      <c r="K20">
        <v>20.2</v>
      </c>
      <c r="L20">
        <v>2.6</v>
      </c>
      <c r="M20">
        <v>1131</v>
      </c>
      <c r="N20">
        <v>1020</v>
      </c>
      <c r="O20">
        <v>0.56000000000000005</v>
      </c>
      <c r="P20">
        <v>8.1</v>
      </c>
      <c r="Q20">
        <v>56.93</v>
      </c>
      <c r="R20">
        <v>26.61</v>
      </c>
      <c r="S20">
        <v>1930</v>
      </c>
      <c r="T20">
        <v>1760</v>
      </c>
      <c r="U20">
        <v>72</v>
      </c>
      <c r="V20">
        <v>2330</v>
      </c>
      <c r="W20">
        <v>6620</v>
      </c>
      <c r="X20">
        <v>3.4300518129999999</v>
      </c>
      <c r="Y20">
        <v>4.5</v>
      </c>
      <c r="Z20">
        <v>3.76</v>
      </c>
      <c r="AA20">
        <f t="shared" si="0"/>
        <v>0.8355555555555555</v>
      </c>
      <c r="AB20">
        <v>0</v>
      </c>
      <c r="AC20">
        <v>0.306272239</v>
      </c>
      <c r="AD20">
        <v>0.31291041000000003</v>
      </c>
      <c r="AE20">
        <v>0.29652936400000002</v>
      </c>
      <c r="AF20">
        <v>0.75738507799999999</v>
      </c>
      <c r="AG20">
        <v>0.50311688899999996</v>
      </c>
      <c r="AH20">
        <v>9.9789284000000006E-2</v>
      </c>
      <c r="AI20">
        <v>7.3803681999999995E-2</v>
      </c>
      <c r="AJ20">
        <v>6.3771986000000003E-2</v>
      </c>
      <c r="AK20">
        <v>0.223291184</v>
      </c>
      <c r="AL20">
        <v>1.3433094000000001</v>
      </c>
      <c r="AM20">
        <v>0.64395820599999998</v>
      </c>
      <c r="AN20">
        <v>0.177566379</v>
      </c>
      <c r="AO20">
        <v>7.0277188111372083E-2</v>
      </c>
      <c r="AP20">
        <v>9.2783462611680747</v>
      </c>
      <c r="AQ20">
        <v>0.12001221969969079</v>
      </c>
    </row>
    <row r="21" spans="1:43" x14ac:dyDescent="0.3">
      <c r="A21" t="s">
        <v>105</v>
      </c>
      <c r="B21" t="s">
        <v>12</v>
      </c>
      <c r="C21">
        <v>50.123528</v>
      </c>
      <c r="D21">
        <v>-103.46643899999999</v>
      </c>
      <c r="E21" s="1">
        <v>44396</v>
      </c>
      <c r="F21">
        <v>200</v>
      </c>
      <c r="G21">
        <v>2.1</v>
      </c>
      <c r="H21" s="4">
        <v>351.47999999999996</v>
      </c>
      <c r="I21">
        <v>395871</v>
      </c>
      <c r="J21">
        <v>57.7</v>
      </c>
      <c r="K21">
        <v>19.8</v>
      </c>
      <c r="L21">
        <v>1.64</v>
      </c>
      <c r="M21">
        <v>1246</v>
      </c>
      <c r="N21">
        <v>1117</v>
      </c>
      <c r="O21">
        <v>0.61999999999999988</v>
      </c>
      <c r="P21">
        <v>7.92</v>
      </c>
      <c r="Q21">
        <v>57.23</v>
      </c>
      <c r="R21">
        <v>25.75</v>
      </c>
      <c r="S21">
        <v>1760</v>
      </c>
      <c r="T21">
        <v>1570</v>
      </c>
      <c r="U21">
        <v>30</v>
      </c>
      <c r="V21">
        <v>2240</v>
      </c>
      <c r="W21">
        <v>5610</v>
      </c>
      <c r="X21">
        <v>3.1875</v>
      </c>
      <c r="Y21">
        <v>13.3</v>
      </c>
      <c r="Z21">
        <v>10.9</v>
      </c>
      <c r="AA21">
        <f t="shared" si="0"/>
        <v>0.81954887218045114</v>
      </c>
      <c r="AB21">
        <v>0.32332912899999999</v>
      </c>
      <c r="AC21">
        <v>0.89605891000000004</v>
      </c>
      <c r="AD21">
        <v>0.27747925299999998</v>
      </c>
      <c r="AE21">
        <v>1.2377398449999999</v>
      </c>
      <c r="AF21">
        <v>0.87617772400000005</v>
      </c>
      <c r="AG21">
        <v>1.5138434350000001</v>
      </c>
      <c r="AH21">
        <v>4.9069995999999998E-2</v>
      </c>
      <c r="AI21">
        <v>3.4445009999999998E-2</v>
      </c>
      <c r="AJ21">
        <v>7.1573307000000003E-2</v>
      </c>
      <c r="AK21">
        <v>0</v>
      </c>
      <c r="AL21">
        <v>5.5070655410000002</v>
      </c>
      <c r="AM21">
        <v>0.54861689599999997</v>
      </c>
      <c r="AN21">
        <v>0.55063670099999995</v>
      </c>
      <c r="AO21">
        <v>6.6487787017276825E-2</v>
      </c>
      <c r="AP21">
        <v>8.7308373694907893</v>
      </c>
      <c r="AQ21" s="6">
        <v>0.19219986490294017</v>
      </c>
    </row>
    <row r="22" spans="1:43" x14ac:dyDescent="0.3">
      <c r="A22" t="s">
        <v>105</v>
      </c>
      <c r="B22" t="s">
        <v>12</v>
      </c>
      <c r="C22">
        <v>50.123528</v>
      </c>
      <c r="D22">
        <v>-103.46643899999999</v>
      </c>
      <c r="E22" s="1">
        <v>44403</v>
      </c>
      <c r="F22">
        <v>207</v>
      </c>
      <c r="G22">
        <v>2</v>
      </c>
      <c r="H22" s="4">
        <v>342.96800000000002</v>
      </c>
      <c r="I22">
        <v>379610</v>
      </c>
      <c r="J22">
        <v>31.7</v>
      </c>
      <c r="K22">
        <v>19.5</v>
      </c>
      <c r="L22">
        <v>4.5999999999999996</v>
      </c>
      <c r="M22">
        <v>1139</v>
      </c>
      <c r="N22">
        <v>1019</v>
      </c>
      <c r="O22">
        <v>0.56999999999999995</v>
      </c>
      <c r="P22">
        <v>8.24</v>
      </c>
      <c r="Q22">
        <v>59.69</v>
      </c>
      <c r="R22">
        <v>27.2</v>
      </c>
      <c r="S22">
        <v>1510</v>
      </c>
      <c r="T22">
        <v>1450</v>
      </c>
      <c r="U22">
        <v>60</v>
      </c>
      <c r="V22">
        <v>810</v>
      </c>
      <c r="W22">
        <v>4950</v>
      </c>
      <c r="X22">
        <v>3.2781456950000001</v>
      </c>
      <c r="Y22">
        <v>21.58</v>
      </c>
      <c r="Z22">
        <v>26.4</v>
      </c>
      <c r="AA22">
        <f t="shared" si="0"/>
        <v>1.2233549582947174</v>
      </c>
      <c r="AB22">
        <v>0.42055161400000002</v>
      </c>
      <c r="AC22">
        <v>0.98673638500000005</v>
      </c>
      <c r="AD22">
        <v>0.439555853</v>
      </c>
      <c r="AE22">
        <v>3.7525198199999998</v>
      </c>
      <c r="AF22">
        <v>4.8427821980000001</v>
      </c>
      <c r="AG22">
        <v>4.2085397950000001</v>
      </c>
      <c r="AH22">
        <v>8.2298270000000007E-2</v>
      </c>
      <c r="AI22">
        <v>0.30071269499999997</v>
      </c>
      <c r="AJ22">
        <v>0</v>
      </c>
      <c r="AK22">
        <v>0.24661929399999999</v>
      </c>
      <c r="AL22">
        <v>13.42899068</v>
      </c>
      <c r="AM22">
        <v>1.037537835</v>
      </c>
      <c r="AN22">
        <v>0.77410040400000002</v>
      </c>
      <c r="AP22">
        <v>7.4749179442103832</v>
      </c>
    </row>
    <row r="23" spans="1:43" x14ac:dyDescent="0.3">
      <c r="A23" t="s">
        <v>105</v>
      </c>
      <c r="B23" t="s">
        <v>12</v>
      </c>
      <c r="C23">
        <v>50.123528</v>
      </c>
      <c r="D23">
        <v>-103.46643899999999</v>
      </c>
      <c r="E23" s="1">
        <v>44411</v>
      </c>
      <c r="F23">
        <v>215</v>
      </c>
      <c r="G23">
        <v>1.9</v>
      </c>
      <c r="H23" s="4">
        <v>335.24</v>
      </c>
      <c r="I23">
        <v>367622</v>
      </c>
      <c r="J23">
        <v>128</v>
      </c>
      <c r="K23">
        <v>19.8</v>
      </c>
      <c r="L23">
        <v>2.41</v>
      </c>
      <c r="M23">
        <v>1162</v>
      </c>
      <c r="N23">
        <v>1045</v>
      </c>
      <c r="O23">
        <v>0.57999999999999996</v>
      </c>
      <c r="P23">
        <v>8.09</v>
      </c>
      <c r="Q23">
        <v>61.45</v>
      </c>
      <c r="R23">
        <v>25.36</v>
      </c>
      <c r="S23">
        <v>1250</v>
      </c>
      <c r="T23">
        <v>1130</v>
      </c>
      <c r="U23">
        <v>64</v>
      </c>
      <c r="V23">
        <v>1390</v>
      </c>
      <c r="W23">
        <v>4480</v>
      </c>
      <c r="X23">
        <v>3.5840000000000001</v>
      </c>
      <c r="Y23">
        <v>19.78</v>
      </c>
      <c r="Z23">
        <v>8.1999999999999993</v>
      </c>
      <c r="AA23">
        <f t="shared" si="0"/>
        <v>0.41456016177957528</v>
      </c>
      <c r="AB23">
        <v>0</v>
      </c>
      <c r="AC23">
        <v>4.8388197880000003</v>
      </c>
      <c r="AD23">
        <v>0.207310361</v>
      </c>
      <c r="AE23">
        <v>0.84465663700000004</v>
      </c>
      <c r="AF23">
        <v>0.357686381</v>
      </c>
      <c r="AG23">
        <v>1.328640783</v>
      </c>
      <c r="AH23">
        <v>4.4459594999999998E-2</v>
      </c>
      <c r="AI23">
        <v>4.8656536E-2</v>
      </c>
      <c r="AJ23">
        <v>2.4280992000000001E-2</v>
      </c>
      <c r="AK23">
        <v>0</v>
      </c>
      <c r="AL23">
        <v>1.9327765770000001</v>
      </c>
      <c r="AM23">
        <v>0.16263655799999999</v>
      </c>
      <c r="AN23">
        <v>9.0983706999999997E-2</v>
      </c>
      <c r="AO23">
        <v>6.9062236336018434E-2</v>
      </c>
      <c r="AP23">
        <v>7.4978653877366765</v>
      </c>
      <c r="AQ23">
        <v>0.13377419745406247</v>
      </c>
    </row>
    <row r="24" spans="1:43" x14ac:dyDescent="0.3">
      <c r="A24" t="s">
        <v>105</v>
      </c>
      <c r="B24" t="s">
        <v>12</v>
      </c>
      <c r="C24">
        <v>50.123528</v>
      </c>
      <c r="D24">
        <v>-103.46643899999999</v>
      </c>
      <c r="E24" s="1">
        <v>44417</v>
      </c>
      <c r="F24">
        <v>221</v>
      </c>
      <c r="G24">
        <v>1.9</v>
      </c>
      <c r="H24" s="4">
        <v>336.17219999999998</v>
      </c>
      <c r="I24">
        <v>367622</v>
      </c>
      <c r="J24">
        <v>130.30000000000001</v>
      </c>
      <c r="K24">
        <v>19.3</v>
      </c>
      <c r="L24">
        <v>1.85</v>
      </c>
      <c r="M24">
        <v>1151</v>
      </c>
      <c r="N24">
        <v>1025</v>
      </c>
      <c r="O24">
        <v>0.57999999999999996</v>
      </c>
      <c r="P24">
        <v>8.67</v>
      </c>
      <c r="Q24">
        <v>55.38</v>
      </c>
      <c r="R24">
        <v>25.52</v>
      </c>
      <c r="S24">
        <v>1030</v>
      </c>
      <c r="T24">
        <v>935</v>
      </c>
      <c r="U24">
        <v>169</v>
      </c>
      <c r="V24">
        <v>520</v>
      </c>
      <c r="W24">
        <v>3700</v>
      </c>
      <c r="X24">
        <v>3.5922330100000002</v>
      </c>
      <c r="Y24">
        <v>10.49</v>
      </c>
      <c r="Z24">
        <v>5.68</v>
      </c>
      <c r="AA24">
        <f t="shared" si="0"/>
        <v>0.54146806482364152</v>
      </c>
      <c r="AB24">
        <v>0.14622223500000001</v>
      </c>
      <c r="AC24">
        <v>1.8420992839999999</v>
      </c>
      <c r="AD24">
        <v>9.0161405999999999E-2</v>
      </c>
      <c r="AE24">
        <v>7.7196572000000005E-2</v>
      </c>
      <c r="AF24">
        <v>0.196438159</v>
      </c>
      <c r="AG24">
        <v>0.69105114099999998</v>
      </c>
      <c r="AH24">
        <v>3.5706501000000002E-2</v>
      </c>
      <c r="AI24">
        <v>6.5088945999999995E-2</v>
      </c>
      <c r="AJ24">
        <v>3.8164191E-2</v>
      </c>
      <c r="AK24">
        <v>4.5428488000000003E-2</v>
      </c>
      <c r="AL24">
        <v>1.202595568</v>
      </c>
      <c r="AM24">
        <v>0.11259454000000001</v>
      </c>
      <c r="AN24">
        <v>0.114866566</v>
      </c>
      <c r="AO24">
        <v>0.1221412303893958</v>
      </c>
      <c r="AP24">
        <v>9.9129114152810764</v>
      </c>
      <c r="AQ24">
        <v>0.17928665804370164</v>
      </c>
    </row>
    <row r="25" spans="1:43" x14ac:dyDescent="0.3">
      <c r="A25" t="s">
        <v>105</v>
      </c>
      <c r="B25" t="s">
        <v>12</v>
      </c>
      <c r="C25">
        <v>50.123528</v>
      </c>
      <c r="D25">
        <v>-103.46643899999999</v>
      </c>
      <c r="E25" s="1">
        <v>44424</v>
      </c>
      <c r="F25">
        <v>228</v>
      </c>
      <c r="G25">
        <v>1.8</v>
      </c>
      <c r="H25" s="4">
        <v>328.52159999999998</v>
      </c>
      <c r="I25">
        <v>356690</v>
      </c>
      <c r="J25">
        <v>162.30000000000001</v>
      </c>
      <c r="K25">
        <v>17.499999999999996</v>
      </c>
      <c r="L25">
        <v>3.09</v>
      </c>
      <c r="M25">
        <v>1183</v>
      </c>
      <c r="N25">
        <v>1013</v>
      </c>
      <c r="O25">
        <v>0.59</v>
      </c>
      <c r="P25">
        <v>8.56</v>
      </c>
      <c r="Q25">
        <v>56.11</v>
      </c>
      <c r="R25">
        <v>27.48</v>
      </c>
      <c r="S25">
        <v>1130</v>
      </c>
      <c r="T25">
        <v>844</v>
      </c>
      <c r="U25">
        <v>288</v>
      </c>
      <c r="V25">
        <v>404</v>
      </c>
      <c r="W25">
        <v>3760</v>
      </c>
      <c r="X25">
        <v>3.3274336280000001</v>
      </c>
      <c r="Y25">
        <v>8.24</v>
      </c>
      <c r="Z25">
        <v>6.37</v>
      </c>
      <c r="AA25">
        <f t="shared" si="0"/>
        <v>0.77305825242718451</v>
      </c>
      <c r="AB25">
        <v>0.149035836</v>
      </c>
      <c r="AC25">
        <v>0.61579246799999998</v>
      </c>
      <c r="AD25">
        <v>0.187111693</v>
      </c>
      <c r="AE25">
        <v>0.20157101799999999</v>
      </c>
      <c r="AF25">
        <v>1.309169093</v>
      </c>
      <c r="AG25">
        <v>0.66153620400000002</v>
      </c>
      <c r="AH25">
        <v>4.0410988000000002E-2</v>
      </c>
      <c r="AI25">
        <v>5.9321612000000003E-2</v>
      </c>
      <c r="AJ25">
        <v>5.6556396000000002E-2</v>
      </c>
      <c r="AK25">
        <v>0</v>
      </c>
      <c r="AL25">
        <v>1.251371397</v>
      </c>
      <c r="AM25">
        <v>0.51410666999999999</v>
      </c>
      <c r="AN25">
        <v>0.17221925299999999</v>
      </c>
      <c r="AO25">
        <v>0.16150052758558336</v>
      </c>
      <c r="AP25">
        <v>8.8647751529283827</v>
      </c>
      <c r="AQ25">
        <v>0.15172695489952395</v>
      </c>
    </row>
    <row r="26" spans="1:43" x14ac:dyDescent="0.3">
      <c r="A26" t="s">
        <v>105</v>
      </c>
      <c r="B26" t="s">
        <v>12</v>
      </c>
      <c r="C26">
        <v>50.123528</v>
      </c>
      <c r="D26">
        <v>-103.46643899999999</v>
      </c>
      <c r="E26" s="1">
        <v>44434</v>
      </c>
      <c r="F26">
        <v>238</v>
      </c>
      <c r="G26">
        <v>1.2</v>
      </c>
      <c r="H26" s="4">
        <v>348.33299999999997</v>
      </c>
      <c r="I26">
        <v>338745</v>
      </c>
      <c r="J26">
        <v>200</v>
      </c>
      <c r="K26">
        <v>14.4</v>
      </c>
      <c r="L26">
        <v>7.67</v>
      </c>
      <c r="M26">
        <v>1163</v>
      </c>
      <c r="N26">
        <v>926</v>
      </c>
      <c r="O26">
        <v>0.57999999999999996</v>
      </c>
      <c r="P26">
        <v>8.68</v>
      </c>
      <c r="Q26">
        <v>54.69</v>
      </c>
      <c r="R26">
        <v>26.42</v>
      </c>
      <c r="S26">
        <v>113</v>
      </c>
      <c r="T26">
        <v>43</v>
      </c>
      <c r="U26">
        <v>36</v>
      </c>
      <c r="V26">
        <v>586</v>
      </c>
      <c r="W26">
        <v>4850</v>
      </c>
      <c r="X26">
        <v>42.920353980000002</v>
      </c>
      <c r="Y26">
        <v>11.45</v>
      </c>
      <c r="Z26">
        <v>9.24</v>
      </c>
      <c r="AA26">
        <f t="shared" si="0"/>
        <v>0.80698689956331882</v>
      </c>
      <c r="AB26">
        <v>0.260357322</v>
      </c>
      <c r="AC26">
        <v>3.4416337999999998E-2</v>
      </c>
      <c r="AD26">
        <v>0.16404687200000001</v>
      </c>
      <c r="AE26">
        <v>0.13834723199999999</v>
      </c>
      <c r="AF26">
        <v>0.47074236600000002</v>
      </c>
      <c r="AG26">
        <v>0.32425536599999999</v>
      </c>
      <c r="AH26">
        <v>7.6573158000000002E-2</v>
      </c>
      <c r="AI26">
        <v>1.2708423999999999E-2</v>
      </c>
      <c r="AJ26">
        <v>6.9994649999999999E-3</v>
      </c>
      <c r="AK26">
        <v>0</v>
      </c>
      <c r="AL26">
        <v>1.8235858389999999</v>
      </c>
      <c r="AM26">
        <v>0.36976046899999998</v>
      </c>
      <c r="AN26">
        <v>0.11442110899999999</v>
      </c>
      <c r="AO26">
        <v>6.2465004224900367E-2</v>
      </c>
      <c r="AQ26">
        <v>0.17003352474470262</v>
      </c>
    </row>
    <row r="27" spans="1:43" x14ac:dyDescent="0.3">
      <c r="A27" t="s">
        <v>105</v>
      </c>
      <c r="B27" t="s">
        <v>12</v>
      </c>
      <c r="C27">
        <v>50.123528</v>
      </c>
      <c r="D27">
        <v>-103.46643899999999</v>
      </c>
      <c r="E27" s="1">
        <v>44441</v>
      </c>
      <c r="F27">
        <v>245</v>
      </c>
      <c r="G27">
        <v>1.8</v>
      </c>
      <c r="H27" s="4">
        <v>370.37</v>
      </c>
      <c r="I27">
        <v>364413</v>
      </c>
      <c r="J27">
        <v>149.69999999999999</v>
      </c>
      <c r="K27">
        <v>16.399999999999999</v>
      </c>
      <c r="L27">
        <v>4.37</v>
      </c>
      <c r="M27">
        <v>1198</v>
      </c>
      <c r="N27">
        <v>986</v>
      </c>
      <c r="O27">
        <v>0.56999999999999995</v>
      </c>
      <c r="P27">
        <v>8.5</v>
      </c>
      <c r="Q27">
        <v>53.81</v>
      </c>
      <c r="R27">
        <v>26.78</v>
      </c>
      <c r="S27">
        <v>1070</v>
      </c>
      <c r="T27">
        <v>1000</v>
      </c>
      <c r="U27">
        <v>410</v>
      </c>
      <c r="V27">
        <v>347</v>
      </c>
      <c r="W27">
        <v>3920</v>
      </c>
      <c r="X27">
        <v>3.663551402</v>
      </c>
      <c r="Y27">
        <v>10.98</v>
      </c>
      <c r="Z27">
        <v>4.9400000000000004</v>
      </c>
      <c r="AA27">
        <f t="shared" si="0"/>
        <v>0.44990892531876142</v>
      </c>
      <c r="AB27">
        <v>7.5838742000000001E-2</v>
      </c>
      <c r="AC27">
        <v>0.14627857799999999</v>
      </c>
      <c r="AD27">
        <v>5.7327545000000001E-2</v>
      </c>
      <c r="AE27">
        <v>0.15042330400000001</v>
      </c>
      <c r="AF27">
        <v>0.28427756199999998</v>
      </c>
      <c r="AG27">
        <v>0.217621542</v>
      </c>
      <c r="AI27">
        <v>2.8367599999999998E-3</v>
      </c>
      <c r="AJ27">
        <v>0</v>
      </c>
      <c r="AK27">
        <v>3.4253725999999998E-2</v>
      </c>
      <c r="AL27">
        <v>1.3370029459999999</v>
      </c>
      <c r="AM27">
        <v>0.17253236699999999</v>
      </c>
      <c r="AN27">
        <v>0.104197849</v>
      </c>
      <c r="AO27">
        <v>9.0814615676306082E-2</v>
      </c>
      <c r="AP27">
        <v>8.9065355126702723</v>
      </c>
      <c r="AQ27">
        <v>0.2081005362709161</v>
      </c>
    </row>
    <row r="28" spans="1:43" x14ac:dyDescent="0.3">
      <c r="A28" t="s">
        <v>106</v>
      </c>
      <c r="B28" t="s">
        <v>109</v>
      </c>
      <c r="C28">
        <v>50.143649000000003</v>
      </c>
      <c r="D28">
        <v>-103.445031</v>
      </c>
      <c r="E28" s="1">
        <v>44348</v>
      </c>
      <c r="F28">
        <v>152</v>
      </c>
      <c r="G28">
        <v>2.7</v>
      </c>
      <c r="H28" s="4">
        <v>601.25</v>
      </c>
      <c r="I28">
        <v>686532</v>
      </c>
      <c r="J28">
        <v>11.7</v>
      </c>
      <c r="K28">
        <v>15.1</v>
      </c>
      <c r="L28">
        <v>8.6300000000000008</v>
      </c>
      <c r="M28">
        <v>3062</v>
      </c>
      <c r="N28">
        <v>2485</v>
      </c>
      <c r="O28">
        <v>1.61</v>
      </c>
      <c r="P28">
        <v>8.84</v>
      </c>
      <c r="Q28">
        <v>41.25</v>
      </c>
      <c r="R28">
        <v>25.88</v>
      </c>
      <c r="S28">
        <v>76</v>
      </c>
      <c r="T28">
        <v>38</v>
      </c>
      <c r="U28">
        <v>41</v>
      </c>
      <c r="V28">
        <v>56</v>
      </c>
      <c r="W28">
        <v>2710</v>
      </c>
      <c r="X28">
        <v>35.657894740000003</v>
      </c>
      <c r="Y28">
        <v>167.98</v>
      </c>
      <c r="Z28">
        <v>112.25</v>
      </c>
      <c r="AA28">
        <f t="shared" si="0"/>
        <v>0.66823431360876295</v>
      </c>
      <c r="AB28">
        <v>41.50208327</v>
      </c>
      <c r="AC28">
        <v>2.1888678719999999</v>
      </c>
      <c r="AD28">
        <v>2.7698993220000001</v>
      </c>
      <c r="AE28">
        <v>6.7819837850000004</v>
      </c>
      <c r="AF28">
        <v>7.1667791740000002</v>
      </c>
      <c r="AG28">
        <v>33.034085060000002</v>
      </c>
      <c r="AH28">
        <v>0.90385238999999995</v>
      </c>
      <c r="AI28">
        <v>0.755960305</v>
      </c>
      <c r="AJ28">
        <v>0</v>
      </c>
      <c r="AK28">
        <v>0.77652262900000002</v>
      </c>
      <c r="AL28">
        <v>99.315981460000003</v>
      </c>
      <c r="AM28">
        <v>6.7476031250000004</v>
      </c>
      <c r="AN28">
        <v>8.2995204789999999</v>
      </c>
      <c r="AO28">
        <v>0.11874204515202856</v>
      </c>
      <c r="AP28">
        <v>8.7732403373465893</v>
      </c>
      <c r="AQ28">
        <v>0.17287263416286003</v>
      </c>
    </row>
    <row r="29" spans="1:43" x14ac:dyDescent="0.3">
      <c r="A29" t="s">
        <v>106</v>
      </c>
      <c r="B29" t="s">
        <v>109</v>
      </c>
      <c r="C29">
        <v>50.143649000000003</v>
      </c>
      <c r="D29">
        <v>-103.445031</v>
      </c>
      <c r="E29" s="1">
        <v>44361</v>
      </c>
      <c r="F29">
        <v>165</v>
      </c>
      <c r="G29">
        <v>2.7</v>
      </c>
      <c r="H29" s="4">
        <v>601.25</v>
      </c>
      <c r="I29">
        <v>645954</v>
      </c>
      <c r="J29">
        <v>15</v>
      </c>
      <c r="K29">
        <v>18.2</v>
      </c>
      <c r="L29">
        <v>4.87</v>
      </c>
      <c r="M29">
        <v>3137</v>
      </c>
      <c r="N29">
        <v>2731</v>
      </c>
      <c r="O29">
        <v>1.65</v>
      </c>
      <c r="P29">
        <v>8.2200000000000006</v>
      </c>
      <c r="Q29">
        <v>40.61</v>
      </c>
      <c r="R29">
        <v>27.56</v>
      </c>
      <c r="S29">
        <v>101</v>
      </c>
      <c r="T29">
        <v>51</v>
      </c>
      <c r="U29">
        <v>15</v>
      </c>
      <c r="V29">
        <v>22</v>
      </c>
      <c r="W29">
        <v>2690</v>
      </c>
      <c r="X29">
        <v>26.633663370000001</v>
      </c>
      <c r="Y29">
        <v>88.54</v>
      </c>
      <c r="Z29">
        <v>75.23</v>
      </c>
      <c r="AA29">
        <f t="shared" si="0"/>
        <v>0.84967246442285971</v>
      </c>
      <c r="AB29">
        <v>3.8208289639999999</v>
      </c>
      <c r="AC29">
        <v>0.49278804599999998</v>
      </c>
      <c r="AD29">
        <v>0.90196475499999995</v>
      </c>
      <c r="AE29">
        <v>3.2936853350000002</v>
      </c>
      <c r="AF29">
        <v>2.0125492039999999</v>
      </c>
      <c r="AG29">
        <v>11.33704801</v>
      </c>
      <c r="AH29">
        <v>0.70270571999999998</v>
      </c>
      <c r="AI29">
        <v>0.25007777799999997</v>
      </c>
      <c r="AJ29">
        <v>0</v>
      </c>
      <c r="AK29">
        <v>1.057643366</v>
      </c>
      <c r="AL29">
        <v>22.40896717</v>
      </c>
      <c r="AM29">
        <v>1.3214095219999999</v>
      </c>
      <c r="AN29">
        <v>1.6952904719999999</v>
      </c>
      <c r="AO29">
        <v>0.10589682598056824</v>
      </c>
      <c r="AP29">
        <v>10.753801708944652</v>
      </c>
      <c r="AQ29">
        <v>0.11897445320392457</v>
      </c>
    </row>
    <row r="30" spans="1:43" x14ac:dyDescent="0.3">
      <c r="A30" t="s">
        <v>106</v>
      </c>
      <c r="B30" t="s">
        <v>109</v>
      </c>
      <c r="C30">
        <v>50.143649000000003</v>
      </c>
      <c r="D30">
        <v>-103.445031</v>
      </c>
      <c r="E30" s="1">
        <v>44368</v>
      </c>
      <c r="F30">
        <v>172</v>
      </c>
      <c r="G30">
        <v>2.5</v>
      </c>
      <c r="H30" s="4">
        <v>550.47</v>
      </c>
      <c r="I30">
        <v>605375</v>
      </c>
      <c r="J30">
        <v>15.3</v>
      </c>
      <c r="K30">
        <v>16.899999999999999</v>
      </c>
      <c r="L30">
        <v>4.84</v>
      </c>
      <c r="M30">
        <v>3238</v>
      </c>
      <c r="N30">
        <v>2735</v>
      </c>
      <c r="O30">
        <v>1.7</v>
      </c>
      <c r="P30">
        <v>8.35</v>
      </c>
      <c r="Q30">
        <v>46.37</v>
      </c>
      <c r="R30">
        <v>29.89</v>
      </c>
      <c r="S30">
        <v>144</v>
      </c>
      <c r="T30">
        <v>87</v>
      </c>
      <c r="U30">
        <v>45</v>
      </c>
      <c r="V30">
        <v>27</v>
      </c>
      <c r="W30">
        <v>2910</v>
      </c>
      <c r="X30">
        <v>20.208333329999999</v>
      </c>
      <c r="Y30">
        <v>96.93</v>
      </c>
      <c r="Z30">
        <v>101.33</v>
      </c>
      <c r="AA30">
        <f t="shared" si="0"/>
        <v>1.0453935829980396</v>
      </c>
      <c r="AB30">
        <v>6.6023619890000003</v>
      </c>
      <c r="AC30">
        <v>1.66985652</v>
      </c>
      <c r="AD30">
        <v>1.853259682</v>
      </c>
      <c r="AE30">
        <v>5.7346713549999997</v>
      </c>
      <c r="AF30">
        <v>1.7102087880000001</v>
      </c>
      <c r="AG30">
        <v>29.224601280000002</v>
      </c>
      <c r="AH30">
        <v>0.362395158</v>
      </c>
      <c r="AI30">
        <v>0.73632060899999996</v>
      </c>
      <c r="AJ30">
        <v>0</v>
      </c>
      <c r="AK30">
        <v>1.0793928880000001</v>
      </c>
      <c r="AL30">
        <v>45.984640349999999</v>
      </c>
      <c r="AM30">
        <v>2.0338327079999998</v>
      </c>
      <c r="AN30">
        <v>6.2638450729999997</v>
      </c>
      <c r="AO30">
        <v>6.1036587270098079E-2</v>
      </c>
      <c r="AP30">
        <v>9.0452448267338177</v>
      </c>
      <c r="AQ30">
        <v>0.11276662889203529</v>
      </c>
    </row>
    <row r="31" spans="1:43" x14ac:dyDescent="0.3">
      <c r="A31" t="s">
        <v>106</v>
      </c>
      <c r="B31" t="s">
        <v>109</v>
      </c>
      <c r="C31">
        <v>50.143649000000003</v>
      </c>
      <c r="D31">
        <v>-103.445031</v>
      </c>
      <c r="E31" s="1">
        <v>44375</v>
      </c>
      <c r="F31">
        <v>179</v>
      </c>
      <c r="G31">
        <v>2.4</v>
      </c>
      <c r="H31" s="4">
        <v>550.47</v>
      </c>
      <c r="I31">
        <v>697011</v>
      </c>
      <c r="J31">
        <v>19</v>
      </c>
      <c r="K31">
        <v>20.5</v>
      </c>
      <c r="L31">
        <v>3.4599999999999995</v>
      </c>
      <c r="M31">
        <v>3029</v>
      </c>
      <c r="N31">
        <v>2764</v>
      </c>
      <c r="O31">
        <v>1.58</v>
      </c>
      <c r="P31">
        <v>8.25</v>
      </c>
      <c r="Q31">
        <v>37.950000000000003</v>
      </c>
      <c r="R31">
        <v>11.72</v>
      </c>
      <c r="S31">
        <v>245</v>
      </c>
      <c r="T31">
        <v>199</v>
      </c>
      <c r="U31">
        <v>25</v>
      </c>
      <c r="V31">
        <v>82</v>
      </c>
      <c r="W31">
        <v>1180</v>
      </c>
      <c r="X31">
        <v>4.8163265309999996</v>
      </c>
      <c r="Y31">
        <v>62.27</v>
      </c>
      <c r="Z31">
        <v>50.22</v>
      </c>
      <c r="AA31">
        <f t="shared" si="0"/>
        <v>0.80648787538140354</v>
      </c>
      <c r="AB31">
        <v>15.852819739999999</v>
      </c>
      <c r="AC31">
        <v>1.7253690020000001</v>
      </c>
      <c r="AD31">
        <v>2.2844133119999999</v>
      </c>
      <c r="AE31">
        <v>8.7752314410000007</v>
      </c>
      <c r="AF31">
        <v>2.575194191</v>
      </c>
      <c r="AG31">
        <v>41.486624259999999</v>
      </c>
      <c r="AH31">
        <v>0.61004272599999998</v>
      </c>
      <c r="AI31">
        <v>0.92600228600000001</v>
      </c>
      <c r="AJ31">
        <v>0</v>
      </c>
      <c r="AK31">
        <v>1.1404678399999999</v>
      </c>
      <c r="AL31">
        <v>52.444385339999997</v>
      </c>
      <c r="AM31">
        <v>1.908852768</v>
      </c>
      <c r="AN31">
        <v>4.2272485809999996</v>
      </c>
      <c r="AO31">
        <v>9.145768218038669E-2</v>
      </c>
      <c r="AQ31">
        <v>0.17692720563146708</v>
      </c>
    </row>
    <row r="32" spans="1:43" x14ac:dyDescent="0.3">
      <c r="A32" t="s">
        <v>106</v>
      </c>
      <c r="B32" t="s">
        <v>109</v>
      </c>
      <c r="C32">
        <v>50.143649000000003</v>
      </c>
      <c r="D32">
        <v>-103.445031</v>
      </c>
      <c r="E32" s="1">
        <v>44382</v>
      </c>
      <c r="F32">
        <v>186</v>
      </c>
      <c r="G32">
        <v>2.2999999999999998</v>
      </c>
      <c r="H32" s="4">
        <v>659.59999999999991</v>
      </c>
      <c r="I32">
        <v>788647</v>
      </c>
      <c r="J32">
        <v>18</v>
      </c>
      <c r="K32">
        <v>21.7</v>
      </c>
      <c r="L32">
        <v>2.79</v>
      </c>
      <c r="M32">
        <v>3177</v>
      </c>
      <c r="N32">
        <v>2205</v>
      </c>
      <c r="O32">
        <v>1.78</v>
      </c>
      <c r="P32">
        <v>8.0400000000000009</v>
      </c>
      <c r="Q32">
        <v>50.77</v>
      </c>
      <c r="R32">
        <v>30.03</v>
      </c>
      <c r="S32">
        <v>298</v>
      </c>
      <c r="T32">
        <v>220</v>
      </c>
      <c r="U32">
        <v>70</v>
      </c>
      <c r="V32">
        <v>577</v>
      </c>
      <c r="W32">
        <v>3460</v>
      </c>
      <c r="X32">
        <v>11.61073826</v>
      </c>
      <c r="Y32">
        <v>72.930000000000007</v>
      </c>
      <c r="Z32">
        <v>61.65</v>
      </c>
      <c r="AA32">
        <f t="shared" si="0"/>
        <v>0.84533113944878646</v>
      </c>
      <c r="AB32">
        <v>2.1910975060000002</v>
      </c>
      <c r="AC32">
        <v>0.57072651200000002</v>
      </c>
      <c r="AD32">
        <v>2.016062255</v>
      </c>
      <c r="AE32">
        <v>6.7732727089999996</v>
      </c>
      <c r="AF32">
        <v>4.8509907209999996</v>
      </c>
      <c r="AG32">
        <v>21.364159350000001</v>
      </c>
      <c r="AH32">
        <v>0.302785319</v>
      </c>
      <c r="AI32">
        <v>0.465830085</v>
      </c>
      <c r="AJ32">
        <v>0</v>
      </c>
      <c r="AK32">
        <v>1.664028829</v>
      </c>
      <c r="AL32">
        <v>33.652224439999998</v>
      </c>
      <c r="AM32">
        <v>2.5654040419999999</v>
      </c>
      <c r="AN32">
        <v>4.9372060229999999</v>
      </c>
      <c r="AO32">
        <v>0.10825449841582313</v>
      </c>
      <c r="AP32">
        <v>9.8625944495124021</v>
      </c>
      <c r="AQ32">
        <v>0.10535355755505954</v>
      </c>
    </row>
    <row r="33" spans="1:43" x14ac:dyDescent="0.3">
      <c r="A33" t="s">
        <v>106</v>
      </c>
      <c r="B33" t="s">
        <v>109</v>
      </c>
      <c r="C33">
        <v>50.143649000000003</v>
      </c>
      <c r="D33">
        <v>-103.445031</v>
      </c>
      <c r="E33" s="1">
        <v>44389</v>
      </c>
      <c r="F33">
        <v>193</v>
      </c>
      <c r="G33">
        <v>2.4</v>
      </c>
      <c r="H33" s="4">
        <v>536.94299999999998</v>
      </c>
      <c r="I33">
        <v>599640</v>
      </c>
      <c r="J33">
        <v>18.7</v>
      </c>
      <c r="K33">
        <v>20.8</v>
      </c>
      <c r="L33">
        <v>2.75</v>
      </c>
      <c r="M33">
        <v>3215</v>
      </c>
      <c r="N33">
        <v>2959</v>
      </c>
      <c r="O33">
        <v>1.69</v>
      </c>
      <c r="P33">
        <v>8.0299999999999994</v>
      </c>
      <c r="Q33">
        <v>58.62</v>
      </c>
      <c r="R33">
        <v>30.15</v>
      </c>
      <c r="S33">
        <v>780</v>
      </c>
      <c r="T33">
        <v>733</v>
      </c>
      <c r="U33">
        <v>45</v>
      </c>
      <c r="V33">
        <v>1435</v>
      </c>
      <c r="W33">
        <v>5550</v>
      </c>
      <c r="X33">
        <v>7.115384615</v>
      </c>
      <c r="Y33">
        <v>72.989999999999995</v>
      </c>
      <c r="Z33">
        <v>62.17</v>
      </c>
      <c r="AA33">
        <f t="shared" si="0"/>
        <v>0.85176051513906026</v>
      </c>
      <c r="AB33">
        <v>0</v>
      </c>
      <c r="AC33">
        <v>1.728248118</v>
      </c>
      <c r="AD33">
        <v>2.4365134890000002</v>
      </c>
      <c r="AE33">
        <v>6.2833157579999996</v>
      </c>
      <c r="AF33">
        <v>6.4152683899999996</v>
      </c>
      <c r="AG33">
        <v>18.776866999999999</v>
      </c>
      <c r="AH33">
        <v>0.54416078899999998</v>
      </c>
      <c r="AI33">
        <v>0.67044843200000004</v>
      </c>
      <c r="AJ33">
        <v>0</v>
      </c>
      <c r="AK33">
        <v>0</v>
      </c>
      <c r="AL33">
        <v>18.06976457</v>
      </c>
      <c r="AM33">
        <v>8.5716346730000001</v>
      </c>
      <c r="AN33">
        <v>3.9830615470000001</v>
      </c>
      <c r="AO33">
        <v>0.12063243068530315</v>
      </c>
      <c r="AP33">
        <v>11.845488432800707</v>
      </c>
      <c r="AQ33">
        <v>0.18129408490792764</v>
      </c>
    </row>
    <row r="34" spans="1:43" x14ac:dyDescent="0.3">
      <c r="A34" t="s">
        <v>106</v>
      </c>
      <c r="B34" t="s">
        <v>109</v>
      </c>
      <c r="C34">
        <v>50.143649000000003</v>
      </c>
      <c r="D34">
        <v>-103.445031</v>
      </c>
      <c r="E34" s="1">
        <v>44396</v>
      </c>
      <c r="F34">
        <v>200</v>
      </c>
      <c r="G34">
        <v>2.2999999999999998</v>
      </c>
      <c r="H34" s="4">
        <v>584</v>
      </c>
      <c r="I34">
        <v>665045</v>
      </c>
      <c r="J34">
        <v>26.7</v>
      </c>
      <c r="K34">
        <v>20.7</v>
      </c>
      <c r="L34">
        <v>2.0499999999999998</v>
      </c>
      <c r="M34">
        <v>3570</v>
      </c>
      <c r="N34">
        <v>3294</v>
      </c>
      <c r="O34">
        <v>1.8800000000000001</v>
      </c>
      <c r="P34">
        <v>7.95</v>
      </c>
      <c r="Q34">
        <v>57.72</v>
      </c>
      <c r="R34">
        <v>30.93</v>
      </c>
      <c r="S34">
        <v>539</v>
      </c>
      <c r="T34">
        <v>516</v>
      </c>
      <c r="U34">
        <v>25</v>
      </c>
      <c r="V34">
        <v>1070</v>
      </c>
      <c r="W34">
        <v>4970</v>
      </c>
      <c r="X34">
        <v>9.2207792210000008</v>
      </c>
      <c r="Y34">
        <v>57.36</v>
      </c>
      <c r="Z34">
        <v>66.040000000000006</v>
      </c>
      <c r="AA34">
        <f t="shared" si="0"/>
        <v>1.1513249651324966</v>
      </c>
      <c r="AB34">
        <v>0</v>
      </c>
      <c r="AC34">
        <v>0.73886303200000003</v>
      </c>
      <c r="AD34">
        <v>0.60353021100000004</v>
      </c>
      <c r="AE34">
        <v>1.245601728</v>
      </c>
      <c r="AF34">
        <v>1.82226128</v>
      </c>
      <c r="AG34">
        <v>4.9399015909999999</v>
      </c>
      <c r="AH34">
        <v>6.6624464999999994E-2</v>
      </c>
      <c r="AI34">
        <v>0.106592585</v>
      </c>
      <c r="AJ34">
        <v>0</v>
      </c>
      <c r="AK34">
        <v>0</v>
      </c>
      <c r="AL34">
        <v>6.1547945180000001</v>
      </c>
      <c r="AM34">
        <v>1.3726212710000001</v>
      </c>
      <c r="AN34">
        <v>1.495504148</v>
      </c>
      <c r="AO34">
        <v>9.8606959187270374E-2</v>
      </c>
      <c r="AP34">
        <v>9.8117520396583213</v>
      </c>
      <c r="AQ34">
        <v>0.11743460496043795</v>
      </c>
    </row>
    <row r="35" spans="1:43" x14ac:dyDescent="0.3">
      <c r="A35" t="s">
        <v>106</v>
      </c>
      <c r="B35" t="s">
        <v>109</v>
      </c>
      <c r="C35">
        <v>50.143649000000003</v>
      </c>
      <c r="D35">
        <v>-103.445031</v>
      </c>
      <c r="E35" s="1">
        <v>44403</v>
      </c>
      <c r="F35">
        <v>207</v>
      </c>
      <c r="G35">
        <v>2.2000000000000002</v>
      </c>
      <c r="H35" s="4">
        <v>601.25</v>
      </c>
      <c r="I35">
        <v>686532</v>
      </c>
      <c r="J35">
        <v>18.3</v>
      </c>
      <c r="K35">
        <v>19.899999999999999</v>
      </c>
      <c r="L35">
        <v>6.11</v>
      </c>
      <c r="M35">
        <v>3263</v>
      </c>
      <c r="N35">
        <v>2942</v>
      </c>
      <c r="O35">
        <v>1.7100000000000002</v>
      </c>
      <c r="P35">
        <v>7.2700000000000014</v>
      </c>
      <c r="Q35">
        <v>48.25</v>
      </c>
      <c r="R35">
        <v>32.25</v>
      </c>
      <c r="S35">
        <v>182</v>
      </c>
      <c r="T35">
        <v>129</v>
      </c>
      <c r="U35">
        <v>30</v>
      </c>
      <c r="V35">
        <v>1005</v>
      </c>
      <c r="W35">
        <v>4940</v>
      </c>
      <c r="X35">
        <v>27.14285714</v>
      </c>
      <c r="Y35">
        <v>159.85</v>
      </c>
      <c r="AB35">
        <v>11.669241230000001</v>
      </c>
      <c r="AC35">
        <v>1.41707008</v>
      </c>
      <c r="AD35">
        <v>3.280629389</v>
      </c>
      <c r="AE35">
        <v>21.33780874</v>
      </c>
      <c r="AF35">
        <v>11.13100318</v>
      </c>
      <c r="AG35">
        <v>40.979314029999998</v>
      </c>
      <c r="AH35">
        <v>1.365103862</v>
      </c>
      <c r="AI35">
        <v>0.49914651799999998</v>
      </c>
      <c r="AJ35">
        <v>0</v>
      </c>
      <c r="AK35">
        <v>0.70829259300000003</v>
      </c>
      <c r="AL35">
        <v>80.26534642</v>
      </c>
      <c r="AM35">
        <v>6.3325045869999999</v>
      </c>
      <c r="AN35">
        <v>6.749336778</v>
      </c>
      <c r="AP35">
        <v>10.23094811330216</v>
      </c>
    </row>
    <row r="36" spans="1:43" x14ac:dyDescent="0.3">
      <c r="A36" t="s">
        <v>106</v>
      </c>
      <c r="B36" t="s">
        <v>109</v>
      </c>
      <c r="C36">
        <v>50.143649000000003</v>
      </c>
      <c r="D36">
        <v>-103.445031</v>
      </c>
      <c r="E36" s="1">
        <v>44411</v>
      </c>
      <c r="F36">
        <v>215</v>
      </c>
      <c r="G36">
        <v>2.2999999999999998</v>
      </c>
      <c r="H36" s="4">
        <v>568.80000000000007</v>
      </c>
      <c r="I36">
        <v>643816</v>
      </c>
      <c r="J36">
        <v>22.3</v>
      </c>
      <c r="K36">
        <v>19</v>
      </c>
      <c r="L36">
        <v>2.6399999999999997</v>
      </c>
      <c r="M36">
        <v>3336</v>
      </c>
      <c r="N36">
        <v>2945</v>
      </c>
      <c r="O36">
        <v>1.75</v>
      </c>
      <c r="P36">
        <v>7.9800000000000013</v>
      </c>
      <c r="Q36">
        <v>67.650000000000006</v>
      </c>
      <c r="R36">
        <v>35.979999999999997</v>
      </c>
      <c r="S36">
        <v>899</v>
      </c>
      <c r="T36">
        <v>818</v>
      </c>
      <c r="U36">
        <v>26</v>
      </c>
      <c r="V36">
        <v>3305</v>
      </c>
      <c r="W36">
        <v>10380</v>
      </c>
      <c r="X36">
        <v>11.5461624</v>
      </c>
      <c r="Y36">
        <v>152.03</v>
      </c>
      <c r="Z36">
        <v>164.46</v>
      </c>
      <c r="AA36">
        <f t="shared" si="0"/>
        <v>1.0817601789120568</v>
      </c>
      <c r="AB36">
        <v>7.121396786</v>
      </c>
      <c r="AC36">
        <v>1.9740040670000001</v>
      </c>
      <c r="AD36">
        <v>2.4390311809999998</v>
      </c>
      <c r="AE36">
        <v>13.710795770000001</v>
      </c>
      <c r="AF36">
        <v>17.853229280000001</v>
      </c>
      <c r="AG36">
        <v>38.567418570000001</v>
      </c>
      <c r="AH36">
        <v>0.57686270900000003</v>
      </c>
      <c r="AI36">
        <v>0.52211985699999997</v>
      </c>
      <c r="AJ36">
        <v>0</v>
      </c>
      <c r="AK36">
        <v>0.96733628000000005</v>
      </c>
      <c r="AL36">
        <v>32.66414365</v>
      </c>
      <c r="AM36">
        <v>36.134215089999998</v>
      </c>
      <c r="AN36">
        <v>10.518027480000001</v>
      </c>
      <c r="AO36">
        <v>8.6641535342206463E-2</v>
      </c>
      <c r="AP36">
        <v>9.9118437736270337</v>
      </c>
      <c r="AQ36">
        <v>0.20672667648712553</v>
      </c>
    </row>
    <row r="37" spans="1:43" x14ac:dyDescent="0.3">
      <c r="A37" t="s">
        <v>106</v>
      </c>
      <c r="B37" t="s">
        <v>109</v>
      </c>
      <c r="C37">
        <v>50.143649000000003</v>
      </c>
      <c r="D37">
        <v>-103.445031</v>
      </c>
      <c r="E37" s="1">
        <v>44417</v>
      </c>
      <c r="F37">
        <v>221</v>
      </c>
      <c r="G37">
        <v>1.7</v>
      </c>
      <c r="H37" s="4">
        <v>543.84</v>
      </c>
      <c r="I37">
        <v>547383</v>
      </c>
      <c r="J37">
        <v>10.3</v>
      </c>
      <c r="K37">
        <v>19.3</v>
      </c>
      <c r="L37">
        <v>1.6999999999999997</v>
      </c>
      <c r="M37">
        <v>3388</v>
      </c>
      <c r="N37">
        <v>3013</v>
      </c>
      <c r="O37">
        <v>1.78</v>
      </c>
      <c r="P37">
        <v>8.4</v>
      </c>
      <c r="Q37">
        <v>33.89</v>
      </c>
      <c r="R37">
        <v>33.42</v>
      </c>
      <c r="S37">
        <v>62</v>
      </c>
      <c r="T37">
        <v>37</v>
      </c>
      <c r="U37">
        <v>137</v>
      </c>
      <c r="V37">
        <v>1940</v>
      </c>
      <c r="W37">
        <v>5770</v>
      </c>
      <c r="X37">
        <v>93.064516130000001</v>
      </c>
      <c r="Y37">
        <v>229.85</v>
      </c>
      <c r="Z37">
        <v>239.87</v>
      </c>
      <c r="AA37">
        <f t="shared" si="0"/>
        <v>1.0435936480313248</v>
      </c>
      <c r="AB37">
        <v>13.1364818</v>
      </c>
      <c r="AC37">
        <v>1.1591167929999999</v>
      </c>
      <c r="AD37">
        <v>5.3002136850000001</v>
      </c>
      <c r="AE37">
        <v>29.166608750000002</v>
      </c>
      <c r="AF37">
        <v>20.27625329</v>
      </c>
      <c r="AG37">
        <v>40.016893809999999</v>
      </c>
      <c r="AH37">
        <v>2.914284484</v>
      </c>
      <c r="AI37">
        <v>1.084972899</v>
      </c>
      <c r="AJ37">
        <v>0</v>
      </c>
      <c r="AK37">
        <v>2.205804976</v>
      </c>
      <c r="AL37">
        <v>150.48444749999999</v>
      </c>
      <c r="AM37">
        <v>14.10943627</v>
      </c>
      <c r="AN37">
        <v>27.737306960000002</v>
      </c>
      <c r="AO37">
        <v>0.1281629080037234</v>
      </c>
      <c r="AP37">
        <v>13.384254048670458</v>
      </c>
      <c r="AQ37">
        <v>0.14718434305213754</v>
      </c>
    </row>
    <row r="38" spans="1:43" x14ac:dyDescent="0.3">
      <c r="A38" t="s">
        <v>106</v>
      </c>
      <c r="B38" t="s">
        <v>109</v>
      </c>
      <c r="C38">
        <v>50.143649000000003</v>
      </c>
      <c r="D38">
        <v>-103.445031</v>
      </c>
      <c r="E38" s="1">
        <v>44424</v>
      </c>
      <c r="F38">
        <v>228</v>
      </c>
      <c r="G38">
        <v>2.2999999999999998</v>
      </c>
      <c r="H38" s="4">
        <v>520.29999999999995</v>
      </c>
      <c r="I38">
        <v>569687</v>
      </c>
      <c r="J38">
        <v>13.7</v>
      </c>
      <c r="K38">
        <v>17.100000000000001</v>
      </c>
      <c r="L38">
        <v>4.08</v>
      </c>
      <c r="M38">
        <v>3466</v>
      </c>
      <c r="N38">
        <v>2939</v>
      </c>
      <c r="O38">
        <v>1.83</v>
      </c>
      <c r="P38">
        <v>8.01</v>
      </c>
      <c r="Q38">
        <v>29.24</v>
      </c>
      <c r="R38">
        <v>35.86</v>
      </c>
      <c r="S38">
        <v>54</v>
      </c>
      <c r="T38">
        <v>38</v>
      </c>
      <c r="U38">
        <v>250</v>
      </c>
      <c r="V38">
        <v>895</v>
      </c>
      <c r="W38">
        <v>5320</v>
      </c>
      <c r="X38">
        <v>98.518518520000001</v>
      </c>
      <c r="Y38">
        <v>405.56</v>
      </c>
      <c r="Z38">
        <v>362.22</v>
      </c>
      <c r="AA38">
        <f t="shared" si="0"/>
        <v>0.89313541769405269</v>
      </c>
      <c r="AB38">
        <v>24.560122069999998</v>
      </c>
      <c r="AC38">
        <v>1.5830861700000001</v>
      </c>
      <c r="AD38">
        <v>7.5322623929999999</v>
      </c>
      <c r="AE38">
        <v>32.678260399999999</v>
      </c>
      <c r="AF38">
        <v>7.4301496279999997</v>
      </c>
      <c r="AG38">
        <v>109.71939260000001</v>
      </c>
      <c r="AH38">
        <v>0.78647514200000002</v>
      </c>
      <c r="AI38">
        <v>2.491789158</v>
      </c>
      <c r="AJ38">
        <v>0</v>
      </c>
      <c r="AK38">
        <v>3.107155128</v>
      </c>
      <c r="AL38">
        <v>178.82685950000001</v>
      </c>
      <c r="AM38">
        <v>11.035015550000001</v>
      </c>
      <c r="AN38">
        <v>25.554696230000001</v>
      </c>
      <c r="AO38">
        <v>7.6563712496444544E-2</v>
      </c>
      <c r="AP38">
        <v>10.115100827692652</v>
      </c>
      <c r="AQ38">
        <v>0.12425459891816502</v>
      </c>
    </row>
    <row r="39" spans="1:43" x14ac:dyDescent="0.3">
      <c r="A39" t="s">
        <v>106</v>
      </c>
      <c r="B39" t="s">
        <v>109</v>
      </c>
      <c r="C39">
        <v>50.143649000000003</v>
      </c>
      <c r="D39">
        <v>-103.445031</v>
      </c>
      <c r="E39" s="1">
        <v>44434</v>
      </c>
      <c r="F39">
        <v>238</v>
      </c>
      <c r="G39">
        <v>1.3</v>
      </c>
      <c r="H39" s="4">
        <v>543.84</v>
      </c>
      <c r="I39">
        <v>476983</v>
      </c>
      <c r="J39">
        <v>11.3</v>
      </c>
      <c r="K39">
        <v>15</v>
      </c>
      <c r="L39">
        <v>11.69</v>
      </c>
      <c r="M39">
        <v>3325</v>
      </c>
      <c r="N39">
        <v>2695</v>
      </c>
      <c r="O39">
        <v>1.76</v>
      </c>
      <c r="P39">
        <v>8.9499999999999993</v>
      </c>
      <c r="Q39">
        <v>32.369999999999997</v>
      </c>
      <c r="R39">
        <v>33.14</v>
      </c>
      <c r="S39">
        <v>46</v>
      </c>
      <c r="T39">
        <v>34</v>
      </c>
      <c r="U39">
        <v>345</v>
      </c>
      <c r="V39">
        <v>2220</v>
      </c>
      <c r="W39">
        <v>6460</v>
      </c>
      <c r="X39">
        <v>140.43478260000001</v>
      </c>
      <c r="Y39">
        <v>204.62</v>
      </c>
      <c r="Z39">
        <v>232.46</v>
      </c>
      <c r="AA39">
        <f t="shared" si="0"/>
        <v>1.1360570814192161</v>
      </c>
      <c r="AB39">
        <v>17.015851309999999</v>
      </c>
      <c r="AC39">
        <v>1.6237828729999999</v>
      </c>
      <c r="AD39">
        <v>5.3170095809999998</v>
      </c>
      <c r="AE39">
        <v>24.85790536</v>
      </c>
      <c r="AF39">
        <v>8.7362897759999996</v>
      </c>
      <c r="AG39">
        <v>74.886151729999995</v>
      </c>
      <c r="AH39">
        <v>1.183749986</v>
      </c>
      <c r="AI39">
        <v>1.864145752</v>
      </c>
      <c r="AJ39">
        <v>0</v>
      </c>
      <c r="AK39">
        <v>1.9042123310000001</v>
      </c>
      <c r="AL39">
        <v>134.14048320000001</v>
      </c>
      <c r="AM39">
        <v>6.9260654710000003</v>
      </c>
      <c r="AN39">
        <v>14.87593528</v>
      </c>
      <c r="AO39">
        <v>8.7927678446744248E-2</v>
      </c>
      <c r="AP39">
        <v>9.4588539329509356</v>
      </c>
      <c r="AQ39">
        <v>0.12053449253685863</v>
      </c>
    </row>
    <row r="40" spans="1:43" x14ac:dyDescent="0.3">
      <c r="A40" t="s">
        <v>106</v>
      </c>
      <c r="B40" t="s">
        <v>109</v>
      </c>
      <c r="C40">
        <v>50.143649000000003</v>
      </c>
      <c r="D40">
        <v>-103.445031</v>
      </c>
      <c r="E40" s="1">
        <v>44441</v>
      </c>
      <c r="F40">
        <v>245</v>
      </c>
      <c r="G40">
        <v>2.1</v>
      </c>
      <c r="H40" s="4">
        <v>565.42499999999995</v>
      </c>
      <c r="I40">
        <v>548384</v>
      </c>
      <c r="J40">
        <v>15.7</v>
      </c>
      <c r="K40">
        <v>15.6</v>
      </c>
      <c r="L40">
        <v>3.45</v>
      </c>
      <c r="M40">
        <v>3433</v>
      </c>
      <c r="N40">
        <v>2762</v>
      </c>
      <c r="O40">
        <v>1.79</v>
      </c>
      <c r="P40">
        <v>8.4600000000000009</v>
      </c>
      <c r="Q40">
        <v>31.01</v>
      </c>
      <c r="R40">
        <v>34.590000000000003</v>
      </c>
      <c r="S40">
        <v>68</v>
      </c>
      <c r="T40">
        <v>27</v>
      </c>
      <c r="U40">
        <v>672</v>
      </c>
      <c r="V40">
        <v>1780</v>
      </c>
      <c r="W40">
        <v>8020</v>
      </c>
      <c r="X40">
        <v>117.9411765</v>
      </c>
      <c r="Y40">
        <v>69.12</v>
      </c>
      <c r="Z40">
        <v>43.82</v>
      </c>
      <c r="AA40">
        <f t="shared" si="0"/>
        <v>0.63396990740740733</v>
      </c>
      <c r="AB40">
        <v>21.184320169999999</v>
      </c>
      <c r="AC40">
        <v>3.5839555079999998</v>
      </c>
      <c r="AD40">
        <v>6.1160360889999996</v>
      </c>
      <c r="AE40">
        <v>29.917342300000001</v>
      </c>
      <c r="AF40">
        <v>22.908058140000001</v>
      </c>
      <c r="AG40">
        <v>71.268105090000006</v>
      </c>
      <c r="AH40">
        <v>1.16157095</v>
      </c>
      <c r="AI40">
        <v>2.2201670569999998</v>
      </c>
      <c r="AJ40">
        <v>0</v>
      </c>
      <c r="AK40">
        <v>2.1557301450000002</v>
      </c>
      <c r="AL40">
        <v>132.33905150000001</v>
      </c>
      <c r="AM40">
        <v>6.6235614729999996</v>
      </c>
      <c r="AN40">
        <v>11.2802936</v>
      </c>
      <c r="AO40">
        <v>8.3963667283617399E-2</v>
      </c>
      <c r="AP40">
        <v>10.48491847818927</v>
      </c>
      <c r="AQ40">
        <v>0.16724104238424731</v>
      </c>
    </row>
    <row r="41" spans="1:43" x14ac:dyDescent="0.3">
      <c r="A41" t="s">
        <v>110</v>
      </c>
      <c r="B41" t="s">
        <v>12</v>
      </c>
      <c r="C41">
        <v>50.094946</v>
      </c>
      <c r="D41">
        <v>-103.457461</v>
      </c>
      <c r="E41" s="1">
        <v>44348</v>
      </c>
      <c r="F41">
        <v>152</v>
      </c>
      <c r="G41">
        <v>0.9</v>
      </c>
      <c r="H41" s="4">
        <v>487.5</v>
      </c>
      <c r="I41">
        <v>229850</v>
      </c>
      <c r="J41">
        <v>24.6</v>
      </c>
      <c r="K41" s="3">
        <v>16.625</v>
      </c>
      <c r="L41" s="2">
        <v>15.530000000000001</v>
      </c>
      <c r="M41" s="4">
        <v>1195.5</v>
      </c>
      <c r="N41" s="4">
        <v>1000.75</v>
      </c>
      <c r="O41" s="2">
        <v>0.6</v>
      </c>
      <c r="P41" s="2">
        <v>9.2324999999999999</v>
      </c>
      <c r="Q41" s="2">
        <v>22.56</v>
      </c>
      <c r="R41" s="2">
        <v>16.93</v>
      </c>
      <c r="S41">
        <v>53</v>
      </c>
      <c r="T41">
        <v>11</v>
      </c>
      <c r="U41">
        <v>8</v>
      </c>
      <c r="V41">
        <v>46</v>
      </c>
      <c r="W41">
        <v>1820</v>
      </c>
      <c r="X41">
        <v>34.339622640000002</v>
      </c>
      <c r="Y41">
        <v>215.94</v>
      </c>
      <c r="Z41">
        <v>210.76</v>
      </c>
      <c r="AA41">
        <f t="shared" si="0"/>
        <v>0.97601185514494759</v>
      </c>
      <c r="AB41">
        <v>13.158026509999999</v>
      </c>
      <c r="AC41">
        <v>1.2708965510000001</v>
      </c>
      <c r="AD41">
        <v>1.900768427</v>
      </c>
      <c r="AE41">
        <v>5.5955790250000002</v>
      </c>
      <c r="AF41">
        <v>3.1759595580000002</v>
      </c>
      <c r="AG41">
        <v>22.4967419</v>
      </c>
      <c r="AI41">
        <v>0.88102646500000004</v>
      </c>
      <c r="AJ41">
        <v>0</v>
      </c>
      <c r="AK41">
        <v>0.67612617799999997</v>
      </c>
      <c r="AL41">
        <v>47.087198090000001</v>
      </c>
      <c r="AM41">
        <v>1.535038895</v>
      </c>
      <c r="AN41">
        <v>5.0491788440000001</v>
      </c>
      <c r="AO41">
        <v>7.1694574705074829E-2</v>
      </c>
      <c r="AP41">
        <v>9.3256825106309211</v>
      </c>
      <c r="AQ41">
        <v>9.2887830116879858E-2</v>
      </c>
    </row>
    <row r="42" spans="1:43" x14ac:dyDescent="0.3">
      <c r="A42" t="s">
        <v>110</v>
      </c>
      <c r="B42" t="s">
        <v>12</v>
      </c>
      <c r="C42">
        <v>50.094946</v>
      </c>
      <c r="D42">
        <v>-103.457461</v>
      </c>
      <c r="E42" s="1">
        <v>44361</v>
      </c>
      <c r="F42">
        <v>165</v>
      </c>
      <c r="G42">
        <v>0.9</v>
      </c>
      <c r="H42" s="4">
        <v>487.5</v>
      </c>
      <c r="I42">
        <v>229850</v>
      </c>
      <c r="J42">
        <v>75</v>
      </c>
      <c r="K42" s="3">
        <v>22.024999999999999</v>
      </c>
      <c r="L42" s="2">
        <v>7.2050000000000001</v>
      </c>
      <c r="M42" s="4">
        <v>1319</v>
      </c>
      <c r="N42" s="4">
        <v>1246.5</v>
      </c>
      <c r="O42" s="2">
        <v>0.66</v>
      </c>
      <c r="P42" s="2">
        <v>7.8150000000000004</v>
      </c>
      <c r="Q42" s="2">
        <v>27.82</v>
      </c>
      <c r="R42" s="2">
        <v>16.61</v>
      </c>
      <c r="S42">
        <v>202</v>
      </c>
      <c r="T42">
        <v>145</v>
      </c>
      <c r="U42">
        <v>120</v>
      </c>
      <c r="V42">
        <v>937</v>
      </c>
      <c r="W42">
        <v>3070</v>
      </c>
      <c r="X42">
        <v>15.198019800000001</v>
      </c>
      <c r="Y42">
        <v>2.02</v>
      </c>
      <c r="AB42">
        <v>0.11159802100000001</v>
      </c>
      <c r="AC42">
        <v>6.0374391999999999E-2</v>
      </c>
      <c r="AD42">
        <v>2.6679424E-2</v>
      </c>
      <c r="AE42">
        <v>4.3873144000000003E-2</v>
      </c>
      <c r="AF42">
        <v>0.11798109800000001</v>
      </c>
      <c r="AG42">
        <v>0.197548426</v>
      </c>
      <c r="AH42">
        <v>1.1089046E-2</v>
      </c>
      <c r="AI42">
        <v>1.8522664000000001E-2</v>
      </c>
      <c r="AJ42">
        <v>8.0989070000000007E-3</v>
      </c>
      <c r="AK42">
        <v>4.3217019000000002E-2</v>
      </c>
      <c r="AL42">
        <v>0.41042835300000002</v>
      </c>
      <c r="AM42">
        <v>0.12678145199999999</v>
      </c>
      <c r="AN42">
        <v>5.3272118E-2</v>
      </c>
      <c r="AO42">
        <v>5.9396612997416685E-2</v>
      </c>
      <c r="AP42">
        <v>4.4362226543324121</v>
      </c>
      <c r="AQ42">
        <v>0.10535355755505954</v>
      </c>
    </row>
    <row r="43" spans="1:43" x14ac:dyDescent="0.3">
      <c r="A43" t="s">
        <v>110</v>
      </c>
      <c r="B43" t="s">
        <v>12</v>
      </c>
      <c r="C43">
        <v>50.094946</v>
      </c>
      <c r="D43">
        <v>-103.457461</v>
      </c>
      <c r="E43" s="1">
        <v>44368</v>
      </c>
      <c r="F43">
        <v>172</v>
      </c>
      <c r="G43">
        <v>0.9</v>
      </c>
      <c r="H43" s="4">
        <v>456.89599999999996</v>
      </c>
      <c r="I43">
        <v>229850</v>
      </c>
      <c r="J43">
        <v>75</v>
      </c>
      <c r="K43" s="3">
        <v>17.350000000000001</v>
      </c>
      <c r="L43" s="2">
        <v>7.4625000000000004</v>
      </c>
      <c r="M43" s="4">
        <v>1373</v>
      </c>
      <c r="N43" s="4">
        <v>1172.75</v>
      </c>
      <c r="O43" s="2">
        <v>0.69</v>
      </c>
      <c r="P43" s="2">
        <v>8.5249999999999986</v>
      </c>
      <c r="Q43" s="2">
        <v>28.54</v>
      </c>
      <c r="R43" s="2">
        <v>18.22</v>
      </c>
      <c r="S43">
        <v>110</v>
      </c>
      <c r="T43">
        <v>83</v>
      </c>
      <c r="U43">
        <v>14</v>
      </c>
      <c r="V43">
        <v>118</v>
      </c>
      <c r="W43">
        <v>2170</v>
      </c>
      <c r="X43">
        <v>19.727272729999999</v>
      </c>
      <c r="Y43">
        <v>0.36</v>
      </c>
      <c r="Z43">
        <v>1.34</v>
      </c>
      <c r="AA43">
        <f t="shared" si="0"/>
        <v>3.7222222222222228</v>
      </c>
      <c r="AB43">
        <v>0.11116465</v>
      </c>
      <c r="AC43">
        <v>1.348516E-2</v>
      </c>
      <c r="AD43">
        <v>1.4312337E-2</v>
      </c>
      <c r="AE43">
        <v>2.6801625999999999E-2</v>
      </c>
      <c r="AF43">
        <v>2.9550682000000002E-2</v>
      </c>
      <c r="AG43">
        <v>6.9694883999999999E-2</v>
      </c>
      <c r="AH43">
        <v>1.4808060000000001E-3</v>
      </c>
      <c r="AI43">
        <v>2.181704E-3</v>
      </c>
      <c r="AJ43">
        <v>0</v>
      </c>
      <c r="AK43">
        <v>0</v>
      </c>
      <c r="AL43">
        <v>0.33931386000000002</v>
      </c>
      <c r="AM43">
        <v>3.0025211E-2</v>
      </c>
      <c r="AN43">
        <v>3.4429557999999999E-2</v>
      </c>
      <c r="AO43">
        <v>0.12792794853391939</v>
      </c>
      <c r="AP43">
        <v>12.785088011493807</v>
      </c>
      <c r="AQ43">
        <v>0.12158586663079571</v>
      </c>
    </row>
    <row r="44" spans="1:43" x14ac:dyDescent="0.3">
      <c r="A44" t="s">
        <v>110</v>
      </c>
      <c r="B44" t="s">
        <v>12</v>
      </c>
      <c r="C44">
        <v>50.094946</v>
      </c>
      <c r="D44">
        <v>-103.457461</v>
      </c>
      <c r="E44" s="1">
        <v>44375</v>
      </c>
      <c r="F44">
        <v>179</v>
      </c>
      <c r="G44">
        <v>0.9</v>
      </c>
      <c r="H44" s="4">
        <v>456.89599999999996</v>
      </c>
      <c r="I44">
        <v>204658</v>
      </c>
      <c r="J44">
        <v>75</v>
      </c>
      <c r="K44" s="3">
        <v>22.65</v>
      </c>
      <c r="L44" s="2">
        <v>4.5324999999999998</v>
      </c>
      <c r="M44" s="4">
        <v>1288.75</v>
      </c>
      <c r="N44" s="4">
        <v>1228.25</v>
      </c>
      <c r="O44" s="2">
        <v>0.64</v>
      </c>
      <c r="P44" s="2">
        <v>7.7974999999999994</v>
      </c>
      <c r="Q44" s="2">
        <v>31.18</v>
      </c>
      <c r="R44" s="2">
        <v>18.399999999999999</v>
      </c>
      <c r="S44">
        <v>133</v>
      </c>
      <c r="T44">
        <v>93</v>
      </c>
      <c r="U44">
        <v>6</v>
      </c>
      <c r="V44">
        <v>125</v>
      </c>
      <c r="W44">
        <v>2280</v>
      </c>
      <c r="X44">
        <v>17.14285714</v>
      </c>
      <c r="Y44">
        <v>1.7</v>
      </c>
      <c r="Z44">
        <v>9.3800000000000008</v>
      </c>
      <c r="AA44">
        <f t="shared" si="0"/>
        <v>5.5176470588235302</v>
      </c>
      <c r="AB44">
        <v>0.15401113</v>
      </c>
      <c r="AC44">
        <v>3.112559E-3</v>
      </c>
      <c r="AD44">
        <v>5.5290490000000003E-3</v>
      </c>
      <c r="AE44">
        <v>0.13376706799999999</v>
      </c>
      <c r="AF44">
        <v>6.6489035000000002E-2</v>
      </c>
      <c r="AG44">
        <v>0.109311266</v>
      </c>
      <c r="AH44">
        <v>1.162971E-2</v>
      </c>
      <c r="AI44">
        <v>5.8262399999999999E-3</v>
      </c>
      <c r="AJ44">
        <v>1.5133766E-2</v>
      </c>
      <c r="AK44">
        <v>0</v>
      </c>
      <c r="AL44">
        <v>1.0248954880000001</v>
      </c>
      <c r="AM44">
        <v>4.5037816000000001E-2</v>
      </c>
      <c r="AN44">
        <v>3.3071749999999997E-2</v>
      </c>
      <c r="AO44">
        <v>0.10606533339354769</v>
      </c>
      <c r="AP44">
        <v>10.324799451721404</v>
      </c>
      <c r="AQ44">
        <v>0.14976320151634048</v>
      </c>
    </row>
    <row r="45" spans="1:43" x14ac:dyDescent="0.3">
      <c r="A45" t="s">
        <v>110</v>
      </c>
      <c r="B45" t="s">
        <v>12</v>
      </c>
      <c r="C45">
        <v>50.094946</v>
      </c>
      <c r="D45">
        <v>-103.457461</v>
      </c>
      <c r="E45" s="1">
        <v>44382</v>
      </c>
      <c r="F45">
        <v>186</v>
      </c>
      <c r="G45">
        <v>0.9</v>
      </c>
      <c r="H45" s="4">
        <v>391.32799999999997</v>
      </c>
      <c r="I45">
        <v>179466</v>
      </c>
      <c r="J45">
        <v>34.700000000000003</v>
      </c>
      <c r="K45" s="3">
        <v>24.275000000000002</v>
      </c>
      <c r="L45" s="2">
        <v>5.7249999999999996</v>
      </c>
      <c r="M45" s="4">
        <v>974.25</v>
      </c>
      <c r="N45" s="4">
        <v>1478.5</v>
      </c>
      <c r="O45" s="2">
        <v>0.75</v>
      </c>
      <c r="P45" s="2">
        <v>7.5525000000000002</v>
      </c>
      <c r="Q45">
        <v>33.19</v>
      </c>
      <c r="R45">
        <v>20.87</v>
      </c>
      <c r="S45">
        <v>216</v>
      </c>
      <c r="T45">
        <v>150</v>
      </c>
      <c r="U45">
        <v>7</v>
      </c>
      <c r="V45">
        <v>130</v>
      </c>
      <c r="W45">
        <v>2570</v>
      </c>
      <c r="X45">
        <v>11.898148150000001</v>
      </c>
      <c r="Y45">
        <v>28.82</v>
      </c>
      <c r="Z45">
        <v>27.7</v>
      </c>
      <c r="AA45">
        <f t="shared" si="0"/>
        <v>0.96113809854267862</v>
      </c>
      <c r="AB45">
        <v>1.4104381020000001</v>
      </c>
      <c r="AC45">
        <v>0.15271768399999999</v>
      </c>
      <c r="AD45">
        <v>0.78360046299999997</v>
      </c>
      <c r="AE45">
        <v>1.9095774940000001</v>
      </c>
      <c r="AF45">
        <v>1.009746807</v>
      </c>
      <c r="AG45">
        <v>3.4431583859999999</v>
      </c>
      <c r="AH45">
        <v>4.4503037000000002E-2</v>
      </c>
      <c r="AI45">
        <v>0.190789982</v>
      </c>
      <c r="AJ45">
        <v>0</v>
      </c>
      <c r="AK45">
        <v>0</v>
      </c>
      <c r="AL45">
        <v>8.0375008950000009</v>
      </c>
      <c r="AM45">
        <v>0.62760196599999996</v>
      </c>
      <c r="AN45">
        <v>0.30271172499999999</v>
      </c>
      <c r="AO45">
        <v>8.7872912798228744E-2</v>
      </c>
      <c r="AP45">
        <v>6.564281250471403</v>
      </c>
      <c r="AQ45">
        <v>0.1763422102896266</v>
      </c>
    </row>
    <row r="46" spans="1:43" x14ac:dyDescent="0.3">
      <c r="A46" t="s">
        <v>110</v>
      </c>
      <c r="B46" t="s">
        <v>12</v>
      </c>
      <c r="C46">
        <v>50.094946</v>
      </c>
      <c r="D46">
        <v>-103.457461</v>
      </c>
      <c r="E46" s="1">
        <v>44389</v>
      </c>
      <c r="F46">
        <v>193</v>
      </c>
      <c r="G46">
        <v>0.8</v>
      </c>
      <c r="H46" s="4">
        <v>357.166</v>
      </c>
      <c r="I46">
        <v>150404</v>
      </c>
      <c r="J46">
        <v>32.700000000000003</v>
      </c>
      <c r="K46" s="3">
        <v>21.925000000000001</v>
      </c>
      <c r="L46" s="2">
        <v>2.0449999999999999</v>
      </c>
      <c r="M46" s="4">
        <v>1446.5</v>
      </c>
      <c r="N46">
        <v>1361</v>
      </c>
      <c r="O46">
        <v>0.73</v>
      </c>
      <c r="P46">
        <v>7.46</v>
      </c>
      <c r="Q46" s="2">
        <v>32.58</v>
      </c>
      <c r="R46" s="2">
        <v>23.65</v>
      </c>
      <c r="S46">
        <v>240</v>
      </c>
      <c r="T46">
        <v>166</v>
      </c>
      <c r="U46">
        <v>10</v>
      </c>
      <c r="V46">
        <v>92</v>
      </c>
      <c r="W46">
        <v>2780</v>
      </c>
      <c r="X46">
        <v>11.58333333</v>
      </c>
      <c r="Y46">
        <v>46.08</v>
      </c>
      <c r="Z46">
        <v>39.31</v>
      </c>
      <c r="AA46">
        <f t="shared" si="0"/>
        <v>0.85308159722222232</v>
      </c>
      <c r="AB46">
        <v>3.5918376749999998</v>
      </c>
      <c r="AC46">
        <v>0.715022779</v>
      </c>
      <c r="AD46">
        <v>0.56837829699999998</v>
      </c>
      <c r="AE46">
        <v>3.5983319439999999</v>
      </c>
      <c r="AF46">
        <v>2.989328531</v>
      </c>
      <c r="AG46">
        <v>13.885193960000001</v>
      </c>
      <c r="AH46">
        <v>0.16854792599999999</v>
      </c>
      <c r="AI46">
        <v>0.73246813</v>
      </c>
      <c r="AJ46">
        <v>0</v>
      </c>
      <c r="AK46">
        <v>1.6002589220000001</v>
      </c>
      <c r="AL46">
        <v>18.876494999999998</v>
      </c>
      <c r="AM46">
        <v>1.4793045979999999</v>
      </c>
      <c r="AN46">
        <v>2.3268735559999998</v>
      </c>
      <c r="AO46">
        <v>0.13666410513127691</v>
      </c>
      <c r="AP46">
        <v>7.4170017050500467</v>
      </c>
      <c r="AQ46">
        <v>0.11692576385592486</v>
      </c>
    </row>
    <row r="47" spans="1:43" x14ac:dyDescent="0.3">
      <c r="A47" t="s">
        <v>110</v>
      </c>
      <c r="B47" t="s">
        <v>12</v>
      </c>
      <c r="C47">
        <v>50.094946</v>
      </c>
      <c r="D47">
        <v>-103.457461</v>
      </c>
      <c r="E47" s="1">
        <v>44396</v>
      </c>
      <c r="F47">
        <v>200</v>
      </c>
      <c r="G47">
        <v>0.7</v>
      </c>
      <c r="H47" s="4">
        <v>312</v>
      </c>
      <c r="I47">
        <v>132944</v>
      </c>
      <c r="J47">
        <v>26.7</v>
      </c>
      <c r="K47" s="3">
        <v>22.966666666666669</v>
      </c>
      <c r="L47" s="2">
        <v>7.8233333333333333</v>
      </c>
      <c r="M47" s="4">
        <v>1632.6666666666667</v>
      </c>
      <c r="N47" s="4">
        <v>1569</v>
      </c>
      <c r="O47" s="2">
        <v>0.82333333333333325</v>
      </c>
      <c r="P47" s="2">
        <v>7.4533333333333331</v>
      </c>
      <c r="Q47" s="2">
        <v>33.71</v>
      </c>
      <c r="R47" s="2">
        <v>25.84</v>
      </c>
      <c r="S47">
        <v>258</v>
      </c>
      <c r="T47">
        <v>200</v>
      </c>
      <c r="U47">
        <v>15</v>
      </c>
      <c r="V47">
        <v>322</v>
      </c>
      <c r="W47">
        <v>3370</v>
      </c>
      <c r="X47">
        <v>13.062015499999999</v>
      </c>
      <c r="Y47">
        <v>69.31</v>
      </c>
      <c r="Z47">
        <v>91.64</v>
      </c>
      <c r="AA47">
        <f t="shared" si="0"/>
        <v>1.3221757322175731</v>
      </c>
      <c r="AB47">
        <v>2.243145508</v>
      </c>
      <c r="AC47">
        <v>1.1482422919999999</v>
      </c>
      <c r="AD47">
        <v>1.993330625</v>
      </c>
      <c r="AE47">
        <v>2.7563708099999999</v>
      </c>
      <c r="AF47">
        <v>7.892987186</v>
      </c>
      <c r="AG47">
        <v>19.03394012</v>
      </c>
      <c r="AH47">
        <v>0.32212960699999998</v>
      </c>
      <c r="AI47">
        <v>0.10516629600000001</v>
      </c>
      <c r="AJ47">
        <v>0</v>
      </c>
      <c r="AK47">
        <v>5.0824421690000001</v>
      </c>
      <c r="AL47">
        <v>38.603736210000001</v>
      </c>
      <c r="AM47">
        <v>2.22102113</v>
      </c>
      <c r="AN47">
        <v>2.9729041920000001</v>
      </c>
      <c r="AO47">
        <v>6.6127927609030857E-2</v>
      </c>
      <c r="AP47">
        <v>7.6516202355024339</v>
      </c>
      <c r="AQ47">
        <v>0.19688619585541955</v>
      </c>
    </row>
    <row r="48" spans="1:43" x14ac:dyDescent="0.3">
      <c r="A48" t="s">
        <v>110</v>
      </c>
      <c r="B48" t="s">
        <v>12</v>
      </c>
      <c r="C48">
        <v>50.094946</v>
      </c>
      <c r="D48">
        <v>-103.457461</v>
      </c>
      <c r="E48" s="1">
        <v>44403</v>
      </c>
      <c r="F48">
        <v>207</v>
      </c>
      <c r="G48">
        <v>0.8</v>
      </c>
      <c r="H48" s="4">
        <v>296.39999999999998</v>
      </c>
      <c r="I48">
        <v>99973</v>
      </c>
      <c r="J48">
        <v>38</v>
      </c>
      <c r="K48" s="3">
        <v>20.133333333333333</v>
      </c>
      <c r="L48" s="2">
        <v>4.4733333333333336</v>
      </c>
      <c r="M48" s="4">
        <v>1491</v>
      </c>
      <c r="N48" s="4">
        <v>1412.6666666666667</v>
      </c>
      <c r="O48" s="2">
        <v>0.79</v>
      </c>
      <c r="P48" s="2">
        <v>8.1333333333333329</v>
      </c>
      <c r="Q48">
        <v>37.31</v>
      </c>
      <c r="R48">
        <v>25.64</v>
      </c>
      <c r="S48">
        <v>255</v>
      </c>
      <c r="T48">
        <v>196</v>
      </c>
      <c r="U48">
        <v>11</v>
      </c>
      <c r="V48">
        <v>161</v>
      </c>
      <c r="W48">
        <v>3390</v>
      </c>
      <c r="X48">
        <v>13.29411765</v>
      </c>
      <c r="Z48">
        <v>45.9</v>
      </c>
      <c r="AB48">
        <v>1.126333343</v>
      </c>
      <c r="AC48">
        <v>0.38284469799999998</v>
      </c>
      <c r="AD48">
        <v>0.77872996299999997</v>
      </c>
      <c r="AE48">
        <v>8.9942136539999993</v>
      </c>
      <c r="AF48">
        <v>3.4135655109999998</v>
      </c>
      <c r="AG48">
        <v>16.339092300000001</v>
      </c>
      <c r="AH48">
        <v>0.13762382400000001</v>
      </c>
      <c r="AI48">
        <v>0.180454161</v>
      </c>
      <c r="AJ48">
        <v>0</v>
      </c>
      <c r="AK48">
        <v>0.66394495200000003</v>
      </c>
      <c r="AL48">
        <v>20.82733584</v>
      </c>
      <c r="AM48">
        <v>1.19687996</v>
      </c>
      <c r="AN48">
        <v>3.0640797910000002</v>
      </c>
      <c r="AP48">
        <v>12.019993800567295</v>
      </c>
    </row>
    <row r="49" spans="1:43" x14ac:dyDescent="0.3">
      <c r="A49" t="s">
        <v>110</v>
      </c>
      <c r="B49" t="s">
        <v>12</v>
      </c>
      <c r="C49">
        <v>50.094946</v>
      </c>
      <c r="D49">
        <v>-103.457461</v>
      </c>
      <c r="E49" s="1">
        <v>44411</v>
      </c>
      <c r="F49">
        <v>215</v>
      </c>
      <c r="G49">
        <v>0.5</v>
      </c>
      <c r="H49" s="4">
        <v>264.95999999999998</v>
      </c>
      <c r="I49">
        <v>87253</v>
      </c>
      <c r="J49">
        <v>14.7</v>
      </c>
      <c r="K49" s="3">
        <v>21.233333333333334</v>
      </c>
      <c r="L49" s="2">
        <v>3.3933333333333331</v>
      </c>
      <c r="M49">
        <v>1656</v>
      </c>
      <c r="N49" s="4">
        <v>1536.6666666666667</v>
      </c>
      <c r="O49">
        <v>0.84</v>
      </c>
      <c r="P49">
        <v>7.82</v>
      </c>
      <c r="Q49" s="2">
        <v>42.56</v>
      </c>
      <c r="R49" s="2">
        <v>29.89</v>
      </c>
      <c r="S49">
        <v>409</v>
      </c>
      <c r="T49">
        <v>319</v>
      </c>
      <c r="U49">
        <v>112</v>
      </c>
      <c r="V49">
        <v>61</v>
      </c>
      <c r="W49">
        <v>3760</v>
      </c>
      <c r="X49">
        <v>9.1931540340000009</v>
      </c>
      <c r="Y49">
        <v>142.99</v>
      </c>
      <c r="Z49">
        <v>64.47</v>
      </c>
      <c r="AA49">
        <f t="shared" si="0"/>
        <v>0.45087069025805998</v>
      </c>
      <c r="AB49">
        <v>0.38357047700000002</v>
      </c>
      <c r="AC49">
        <v>0.260949125</v>
      </c>
      <c r="AD49">
        <v>1.0313087510000001</v>
      </c>
      <c r="AE49">
        <v>19.2854463</v>
      </c>
      <c r="AF49">
        <v>4.1773582969999996</v>
      </c>
      <c r="AG49">
        <v>27.072055590000002</v>
      </c>
      <c r="AH49">
        <v>0.7208234</v>
      </c>
      <c r="AI49">
        <v>0.44338762700000001</v>
      </c>
      <c r="AJ49">
        <v>0</v>
      </c>
      <c r="AK49">
        <v>0.66430450399999996</v>
      </c>
      <c r="AL49">
        <v>61.342312530000001</v>
      </c>
      <c r="AM49">
        <v>1.59715355</v>
      </c>
      <c r="AN49">
        <v>5.4982678030000001</v>
      </c>
      <c r="AO49">
        <v>0.10835994659796548</v>
      </c>
      <c r="AP49">
        <v>5.6717989767152952</v>
      </c>
      <c r="AQ49">
        <v>0.18447058979750749</v>
      </c>
    </row>
    <row r="50" spans="1:43" x14ac:dyDescent="0.3">
      <c r="A50" t="s">
        <v>110</v>
      </c>
      <c r="B50" t="s">
        <v>12</v>
      </c>
      <c r="C50">
        <v>50.094946</v>
      </c>
      <c r="D50">
        <v>-103.457461</v>
      </c>
      <c r="E50" s="1">
        <v>44417</v>
      </c>
      <c r="F50">
        <v>221</v>
      </c>
      <c r="G50">
        <v>0.5</v>
      </c>
      <c r="H50" s="4">
        <v>252</v>
      </c>
      <c r="I50">
        <v>82063</v>
      </c>
      <c r="J50">
        <v>50</v>
      </c>
      <c r="K50" s="3">
        <v>18.833333333333332</v>
      </c>
      <c r="L50" s="2">
        <v>1.7066666666666668</v>
      </c>
      <c r="M50" s="4">
        <v>1737.6666666666667</v>
      </c>
      <c r="N50" s="4">
        <v>1533</v>
      </c>
      <c r="O50" s="2">
        <v>0.88</v>
      </c>
      <c r="P50" s="2">
        <v>7.6466666666666674</v>
      </c>
      <c r="Q50" s="2">
        <v>43.4</v>
      </c>
      <c r="R50" s="2">
        <v>30.65</v>
      </c>
      <c r="S50">
        <v>327</v>
      </c>
      <c r="T50">
        <v>225</v>
      </c>
      <c r="U50">
        <v>71</v>
      </c>
      <c r="V50">
        <v>254</v>
      </c>
      <c r="W50">
        <v>4330</v>
      </c>
      <c r="X50">
        <v>13.24159021</v>
      </c>
      <c r="Y50">
        <v>93.31</v>
      </c>
      <c r="Z50">
        <v>82.4</v>
      </c>
      <c r="AA50">
        <f t="shared" si="0"/>
        <v>0.8830779123352267</v>
      </c>
      <c r="AB50">
        <v>0.14037891</v>
      </c>
      <c r="AC50">
        <v>0.1136862</v>
      </c>
      <c r="AD50">
        <v>1.3800801490000001</v>
      </c>
      <c r="AE50">
        <v>4.0143817129999997</v>
      </c>
      <c r="AF50">
        <v>3.4814397339999998</v>
      </c>
      <c r="AG50">
        <v>4.9807244490000002</v>
      </c>
      <c r="AH50">
        <v>7.2462576000000001E-2</v>
      </c>
      <c r="AI50">
        <v>0.27091031999999998</v>
      </c>
      <c r="AJ50">
        <v>0</v>
      </c>
      <c r="AK50">
        <v>6.1018771999999999E-2</v>
      </c>
      <c r="AL50">
        <v>15.69948145</v>
      </c>
      <c r="AM50">
        <v>1.1555014669999999</v>
      </c>
      <c r="AN50">
        <v>1.455851794</v>
      </c>
      <c r="AO50">
        <v>0.11480143294163017</v>
      </c>
      <c r="AP50">
        <v>11.898613555956011</v>
      </c>
      <c r="AQ50">
        <v>0.15371645778132198</v>
      </c>
    </row>
    <row r="51" spans="1:43" x14ac:dyDescent="0.3">
      <c r="A51" t="s">
        <v>110</v>
      </c>
      <c r="B51" t="s">
        <v>12</v>
      </c>
      <c r="C51">
        <v>50.094946</v>
      </c>
      <c r="D51">
        <v>-103.457461</v>
      </c>
      <c r="E51" s="1">
        <v>44424</v>
      </c>
      <c r="F51">
        <v>228</v>
      </c>
      <c r="G51">
        <v>0.5</v>
      </c>
      <c r="H51" s="4">
        <v>261.69</v>
      </c>
      <c r="I51">
        <v>53345</v>
      </c>
      <c r="J51">
        <v>25</v>
      </c>
      <c r="K51" s="3">
        <v>18.899999999999999</v>
      </c>
      <c r="L51" s="2">
        <v>5.83</v>
      </c>
      <c r="M51" s="4">
        <v>1830</v>
      </c>
      <c r="N51" s="4">
        <v>1616.5</v>
      </c>
      <c r="O51" s="2">
        <v>0.93</v>
      </c>
      <c r="P51" s="2">
        <v>7.8249999999999993</v>
      </c>
      <c r="Q51" s="2">
        <v>43.54</v>
      </c>
      <c r="R51" s="2">
        <v>33.19</v>
      </c>
      <c r="S51">
        <v>378</v>
      </c>
      <c r="T51">
        <v>243</v>
      </c>
      <c r="U51">
        <v>14</v>
      </c>
      <c r="V51">
        <v>274</v>
      </c>
      <c r="W51">
        <v>4350</v>
      </c>
      <c r="X51">
        <v>11.50793651</v>
      </c>
      <c r="Y51">
        <v>41.83</v>
      </c>
      <c r="Z51">
        <v>75.45</v>
      </c>
      <c r="AA51">
        <f t="shared" si="0"/>
        <v>1.8037293808271577</v>
      </c>
      <c r="AB51">
        <v>0</v>
      </c>
      <c r="AC51">
        <v>0.30818220000000002</v>
      </c>
      <c r="AD51">
        <v>10.179952630000001</v>
      </c>
      <c r="AE51">
        <v>3.5739153629999998</v>
      </c>
      <c r="AF51">
        <v>17.03264377</v>
      </c>
      <c r="AG51">
        <v>4.8591239399999999</v>
      </c>
      <c r="AH51">
        <v>0.205354014</v>
      </c>
      <c r="AI51">
        <v>0.33897311000000002</v>
      </c>
      <c r="AJ51">
        <v>0</v>
      </c>
      <c r="AK51">
        <v>0</v>
      </c>
      <c r="AL51">
        <v>22.033328879999999</v>
      </c>
      <c r="AM51">
        <v>13.66547422</v>
      </c>
      <c r="AN51">
        <v>1.3865956580000001</v>
      </c>
      <c r="AO51">
        <v>0.11625488217943962</v>
      </c>
      <c r="AP51">
        <v>6.5478825263729945</v>
      </c>
      <c r="AQ51">
        <v>0.18904334189826091</v>
      </c>
    </row>
    <row r="52" spans="1:43" x14ac:dyDescent="0.3">
      <c r="A52" t="s">
        <v>110</v>
      </c>
      <c r="B52" t="s">
        <v>12</v>
      </c>
      <c r="C52">
        <v>50.094946</v>
      </c>
      <c r="D52">
        <v>-103.457461</v>
      </c>
      <c r="E52" s="1">
        <v>44434</v>
      </c>
      <c r="F52">
        <v>238</v>
      </c>
      <c r="G52">
        <v>0.5</v>
      </c>
      <c r="H52" s="4">
        <v>259.88</v>
      </c>
      <c r="I52">
        <v>75065</v>
      </c>
      <c r="J52">
        <v>40</v>
      </c>
      <c r="K52" s="3">
        <v>13.860000000000003</v>
      </c>
      <c r="L52" s="2">
        <v>5.548</v>
      </c>
      <c r="M52" s="4">
        <v>1687</v>
      </c>
      <c r="N52" s="4">
        <v>1328.8</v>
      </c>
      <c r="O52" s="2">
        <v>0.86</v>
      </c>
      <c r="P52" s="2">
        <v>7.6379999999999999</v>
      </c>
      <c r="Q52">
        <v>40.340000000000003</v>
      </c>
      <c r="R52">
        <v>30.28</v>
      </c>
      <c r="S52">
        <v>197</v>
      </c>
      <c r="T52">
        <v>143</v>
      </c>
      <c r="U52">
        <v>32</v>
      </c>
      <c r="V52">
        <v>190</v>
      </c>
      <c r="W52">
        <v>3670</v>
      </c>
      <c r="X52">
        <v>18.629441620000001</v>
      </c>
      <c r="Y52">
        <v>41.87</v>
      </c>
      <c r="Z52">
        <v>37.020000000000003</v>
      </c>
      <c r="AA52">
        <f t="shared" si="0"/>
        <v>0.88416527346548857</v>
      </c>
      <c r="AB52">
        <v>0</v>
      </c>
      <c r="AC52">
        <v>0.337693146</v>
      </c>
      <c r="AD52">
        <v>3.7624089619999999</v>
      </c>
      <c r="AE52">
        <v>2.3679335090000002</v>
      </c>
      <c r="AF52">
        <v>0.74613625400000005</v>
      </c>
      <c r="AG52">
        <v>4.4535978890000001</v>
      </c>
      <c r="AH52">
        <v>0.109063062</v>
      </c>
      <c r="AI52">
        <v>0.36485584199999999</v>
      </c>
      <c r="AJ52">
        <v>6.0317646000000003E-2</v>
      </c>
      <c r="AK52">
        <v>3.6567414999999999E-2</v>
      </c>
      <c r="AL52">
        <v>12.38917438</v>
      </c>
      <c r="AM52">
        <v>0.73833869600000002</v>
      </c>
      <c r="AN52">
        <v>1.537250781</v>
      </c>
      <c r="AO52">
        <v>9.4741967206990046E-2</v>
      </c>
      <c r="AP52">
        <v>10.48088148401636</v>
      </c>
      <c r="AQ52">
        <v>0.19867190767190956</v>
      </c>
    </row>
    <row r="53" spans="1:43" x14ac:dyDescent="0.3">
      <c r="A53" t="s">
        <v>110</v>
      </c>
      <c r="B53" t="s">
        <v>12</v>
      </c>
      <c r="C53">
        <v>50.094946</v>
      </c>
      <c r="D53">
        <v>-103.457461</v>
      </c>
      <c r="E53" s="1">
        <v>44441</v>
      </c>
      <c r="F53">
        <v>245</v>
      </c>
      <c r="G53" t="s">
        <v>81</v>
      </c>
      <c r="Q53" s="2"/>
      <c r="R53" s="2"/>
      <c r="S53">
        <v>260</v>
      </c>
      <c r="T53">
        <v>180</v>
      </c>
      <c r="U53">
        <v>98</v>
      </c>
      <c r="V53">
        <v>212</v>
      </c>
      <c r="W53">
        <v>4010</v>
      </c>
      <c r="X53">
        <v>15.42307692</v>
      </c>
      <c r="Y53">
        <v>44.83</v>
      </c>
      <c r="AB53">
        <v>0.74765076600000002</v>
      </c>
      <c r="AC53">
        <v>0.48408844499999998</v>
      </c>
      <c r="AD53">
        <v>0.94048326699999996</v>
      </c>
      <c r="AE53">
        <v>3.9425345090000001</v>
      </c>
      <c r="AF53">
        <v>1.333696159</v>
      </c>
      <c r="AG53">
        <v>9.7921881509999995</v>
      </c>
      <c r="AH53">
        <v>0.22570911499999999</v>
      </c>
      <c r="AI53">
        <v>0.52019341200000002</v>
      </c>
      <c r="AJ53">
        <v>3.2466865600000001</v>
      </c>
      <c r="AK53">
        <v>6.8522508999999995E-2</v>
      </c>
      <c r="AL53">
        <v>15.79449462</v>
      </c>
      <c r="AM53">
        <v>0.46719227800000002</v>
      </c>
      <c r="AN53">
        <v>1.9974463689999999</v>
      </c>
      <c r="AO53">
        <v>7.1108542794594207E-2</v>
      </c>
      <c r="AP53">
        <v>9.889578754128614</v>
      </c>
      <c r="AQ53">
        <v>0.15446238788463701</v>
      </c>
    </row>
    <row r="54" spans="1:43" x14ac:dyDescent="0.3">
      <c r="A54" t="s">
        <v>111</v>
      </c>
      <c r="B54" t="s">
        <v>109</v>
      </c>
      <c r="C54">
        <v>50.123626999999999</v>
      </c>
      <c r="D54">
        <v>-103.458354</v>
      </c>
      <c r="E54" s="1">
        <v>44348</v>
      </c>
      <c r="F54">
        <v>152</v>
      </c>
      <c r="G54">
        <v>1.6</v>
      </c>
      <c r="H54" s="4">
        <v>554.20000000000005</v>
      </c>
      <c r="I54">
        <v>395488</v>
      </c>
      <c r="J54">
        <v>120</v>
      </c>
      <c r="K54" s="3">
        <v>17.574999999999999</v>
      </c>
      <c r="L54" s="2">
        <v>16.387499999999999</v>
      </c>
      <c r="M54" s="4">
        <v>933.75</v>
      </c>
      <c r="N54">
        <v>801</v>
      </c>
      <c r="O54" s="2">
        <v>0.46249999999999997</v>
      </c>
      <c r="P54">
        <v>9.14</v>
      </c>
      <c r="Q54">
        <v>50.79</v>
      </c>
      <c r="R54">
        <v>20.92</v>
      </c>
      <c r="S54">
        <v>566</v>
      </c>
      <c r="T54">
        <v>465</v>
      </c>
      <c r="U54">
        <v>403</v>
      </c>
      <c r="V54">
        <v>81</v>
      </c>
      <c r="W54">
        <v>2690</v>
      </c>
      <c r="X54">
        <v>4.7526501769999996</v>
      </c>
      <c r="Y54">
        <v>6.41</v>
      </c>
      <c r="Z54">
        <v>22.14</v>
      </c>
      <c r="AA54">
        <f t="shared" ref="AA54:AA79" si="1">Z54/Y54</f>
        <v>3.4539781591263652</v>
      </c>
      <c r="AB54">
        <v>0.41491643299999997</v>
      </c>
      <c r="AC54">
        <v>0.13471931400000001</v>
      </c>
      <c r="AD54">
        <v>0.71256798600000004</v>
      </c>
      <c r="AE54">
        <v>0.13578321700000001</v>
      </c>
      <c r="AF54">
        <v>0.18424850300000001</v>
      </c>
      <c r="AG54">
        <v>0.155779947</v>
      </c>
      <c r="AH54">
        <v>0.26718254400000002</v>
      </c>
      <c r="AI54">
        <v>5.9996849999999997E-2</v>
      </c>
      <c r="AJ54">
        <v>0.18171979499999999</v>
      </c>
      <c r="AK54">
        <v>0.195533331</v>
      </c>
      <c r="AL54">
        <v>4.6515500569999997</v>
      </c>
      <c r="AM54">
        <v>0.28711607700000003</v>
      </c>
      <c r="AN54">
        <v>0.32125255000000003</v>
      </c>
      <c r="AO54">
        <v>7.0769639373410478E-2</v>
      </c>
      <c r="AP54">
        <v>10.377474494098966</v>
      </c>
      <c r="AQ54">
        <v>0.12698190817849186</v>
      </c>
    </row>
    <row r="55" spans="1:43" x14ac:dyDescent="0.3">
      <c r="A55" t="s">
        <v>111</v>
      </c>
      <c r="B55" t="s">
        <v>109</v>
      </c>
      <c r="C55">
        <v>50.123626999999999</v>
      </c>
      <c r="D55">
        <v>-103.458354</v>
      </c>
      <c r="E55" s="1">
        <v>44361</v>
      </c>
      <c r="F55">
        <v>165</v>
      </c>
      <c r="G55">
        <v>1.2</v>
      </c>
      <c r="H55" s="4">
        <v>554.20000000000005</v>
      </c>
      <c r="I55">
        <v>377058</v>
      </c>
      <c r="J55">
        <v>64</v>
      </c>
      <c r="K55" s="3">
        <v>19.860000000000003</v>
      </c>
      <c r="L55" s="2">
        <v>14.901999999999997</v>
      </c>
      <c r="M55" s="4">
        <v>911.2</v>
      </c>
      <c r="N55">
        <v>823</v>
      </c>
      <c r="O55">
        <v>0.45</v>
      </c>
      <c r="P55" s="2">
        <v>9.7080000000000002</v>
      </c>
      <c r="Q55" s="2">
        <v>45.94</v>
      </c>
      <c r="R55" s="2">
        <v>22.11</v>
      </c>
      <c r="S55">
        <v>466</v>
      </c>
      <c r="T55">
        <v>327</v>
      </c>
      <c r="U55">
        <v>3</v>
      </c>
      <c r="V55">
        <v>93</v>
      </c>
      <c r="W55">
        <v>2590</v>
      </c>
      <c r="X55">
        <v>5.5579399140000003</v>
      </c>
      <c r="Y55">
        <v>31.37</v>
      </c>
      <c r="Z55">
        <v>74.55</v>
      </c>
      <c r="AA55">
        <f t="shared" si="1"/>
        <v>2.3764743385400062</v>
      </c>
      <c r="AB55">
        <v>0.105876156</v>
      </c>
      <c r="AC55">
        <v>0.13527957500000001</v>
      </c>
      <c r="AD55">
        <v>0.104262059</v>
      </c>
      <c r="AE55">
        <v>3.5123662219999998</v>
      </c>
      <c r="AF55">
        <v>0</v>
      </c>
      <c r="AG55">
        <v>0.25574050999999998</v>
      </c>
      <c r="AH55">
        <v>1.615943119</v>
      </c>
      <c r="AI55">
        <v>0.73732037500000003</v>
      </c>
      <c r="AJ55">
        <v>1.4298369230000001</v>
      </c>
      <c r="AK55">
        <v>0.510095348</v>
      </c>
      <c r="AL55">
        <v>21.995631100000001</v>
      </c>
      <c r="AM55">
        <v>0.37052986500000001</v>
      </c>
      <c r="AN55">
        <v>0.58316254899999997</v>
      </c>
      <c r="AO55">
        <v>5.8845079247857049E-2</v>
      </c>
      <c r="AP55">
        <v>10.644908293483775</v>
      </c>
      <c r="AQ55">
        <v>0.14154311036217715</v>
      </c>
    </row>
    <row r="56" spans="1:43" x14ac:dyDescent="0.3">
      <c r="A56" t="s">
        <v>111</v>
      </c>
      <c r="B56" t="s">
        <v>109</v>
      </c>
      <c r="C56">
        <v>50.123626999999999</v>
      </c>
      <c r="D56">
        <v>-103.458354</v>
      </c>
      <c r="E56" s="1">
        <v>44368</v>
      </c>
      <c r="F56">
        <v>172</v>
      </c>
      <c r="G56">
        <v>1.4</v>
      </c>
      <c r="H56" s="4">
        <v>437.9</v>
      </c>
      <c r="I56">
        <v>358629</v>
      </c>
      <c r="J56">
        <v>85</v>
      </c>
      <c r="K56" s="3">
        <v>17.95</v>
      </c>
      <c r="L56" s="2">
        <v>10.883333333333335</v>
      </c>
      <c r="M56">
        <v>918</v>
      </c>
      <c r="N56">
        <v>794</v>
      </c>
      <c r="O56" s="2">
        <v>0.45333333333333337</v>
      </c>
      <c r="P56" s="2">
        <v>10.171666666666667</v>
      </c>
      <c r="Q56" s="2">
        <v>31.22</v>
      </c>
      <c r="R56" s="2">
        <v>25.68</v>
      </c>
      <c r="S56">
        <v>268</v>
      </c>
      <c r="T56">
        <v>193</v>
      </c>
      <c r="U56">
        <v>13</v>
      </c>
      <c r="V56">
        <v>215</v>
      </c>
      <c r="W56">
        <v>2860</v>
      </c>
      <c r="X56">
        <v>10.671641790000001</v>
      </c>
      <c r="Y56">
        <v>64.59</v>
      </c>
      <c r="Z56">
        <v>16.91</v>
      </c>
      <c r="AA56">
        <f t="shared" si="1"/>
        <v>0.26180523300820557</v>
      </c>
      <c r="AB56">
        <v>0.35652806500000001</v>
      </c>
      <c r="AC56">
        <v>0.489123009</v>
      </c>
      <c r="AD56">
        <v>0.17888841799999999</v>
      </c>
      <c r="AE56">
        <v>0.318156995</v>
      </c>
      <c r="AF56">
        <v>0.176639202</v>
      </c>
      <c r="AG56">
        <v>1.161155503</v>
      </c>
      <c r="AH56">
        <v>2.2503269480000001</v>
      </c>
      <c r="AI56">
        <v>1.585444023</v>
      </c>
      <c r="AJ56">
        <v>1.4371847040000001</v>
      </c>
      <c r="AK56">
        <v>0.258176829</v>
      </c>
      <c r="AL56">
        <v>40.586831189999998</v>
      </c>
      <c r="AM56">
        <v>1.4050297329999999</v>
      </c>
      <c r="AN56">
        <v>4.8838677349999999</v>
      </c>
      <c r="AO56">
        <v>5.0943831160246228E-2</v>
      </c>
      <c r="AP56">
        <v>8.3379546251407692</v>
      </c>
      <c r="AQ56">
        <v>0.10719948700652651</v>
      </c>
    </row>
    <row r="57" spans="1:43" x14ac:dyDescent="0.3">
      <c r="A57" t="s">
        <v>111</v>
      </c>
      <c r="B57" t="s">
        <v>109</v>
      </c>
      <c r="C57">
        <v>50.123626999999999</v>
      </c>
      <c r="D57">
        <v>-103.458354</v>
      </c>
      <c r="E57" s="1">
        <v>44375</v>
      </c>
      <c r="F57">
        <v>179</v>
      </c>
      <c r="G57">
        <v>1</v>
      </c>
      <c r="H57" s="4">
        <v>437.9</v>
      </c>
      <c r="I57">
        <v>293811</v>
      </c>
      <c r="J57">
        <v>113.7</v>
      </c>
      <c r="K57" s="3">
        <v>23.366666666666664</v>
      </c>
      <c r="L57" s="2">
        <v>7.7033333333333331</v>
      </c>
      <c r="M57" s="4">
        <v>849.66666666666663</v>
      </c>
      <c r="N57">
        <v>818</v>
      </c>
      <c r="O57">
        <v>0.42</v>
      </c>
      <c r="P57" s="2">
        <v>9.9</v>
      </c>
      <c r="Q57" s="2">
        <v>32.869999999999997</v>
      </c>
      <c r="R57" s="2">
        <v>25.82</v>
      </c>
      <c r="S57">
        <v>288</v>
      </c>
      <c r="T57">
        <v>191</v>
      </c>
      <c r="U57">
        <v>35</v>
      </c>
      <c r="V57">
        <v>251</v>
      </c>
      <c r="W57">
        <v>3220</v>
      </c>
      <c r="X57">
        <v>11.18055556</v>
      </c>
      <c r="Y57">
        <v>7.95</v>
      </c>
      <c r="Z57">
        <v>8.98</v>
      </c>
      <c r="AA57">
        <f t="shared" si="1"/>
        <v>1.1295597484276729</v>
      </c>
      <c r="AB57">
        <v>0.46320759500000003</v>
      </c>
      <c r="AC57">
        <v>6.3105834999999999E-2</v>
      </c>
      <c r="AD57">
        <v>0.633601784</v>
      </c>
      <c r="AE57">
        <v>0.51055224200000004</v>
      </c>
      <c r="AF57">
        <v>0.11495897200000001</v>
      </c>
      <c r="AG57">
        <v>0.31762595700000001</v>
      </c>
      <c r="AH57">
        <v>5.6651555999999999E-2</v>
      </c>
      <c r="AI57">
        <v>2.3040273E-2</v>
      </c>
      <c r="AJ57">
        <v>5.485392E-2</v>
      </c>
      <c r="AK57">
        <v>0.27872371400000001</v>
      </c>
      <c r="AL57">
        <v>3.6778696270000002</v>
      </c>
      <c r="AM57">
        <v>0.15573999699999999</v>
      </c>
      <c r="AN57">
        <v>6.8719895000000003E-2</v>
      </c>
      <c r="AP57">
        <v>4.559858065154442</v>
      </c>
    </row>
    <row r="58" spans="1:43" x14ac:dyDescent="0.3">
      <c r="A58" t="s">
        <v>111</v>
      </c>
      <c r="B58" t="s">
        <v>109</v>
      </c>
      <c r="C58">
        <v>50.123626999999999</v>
      </c>
      <c r="D58">
        <v>-103.458354</v>
      </c>
      <c r="E58" s="1">
        <v>44382</v>
      </c>
      <c r="F58">
        <v>186</v>
      </c>
      <c r="G58">
        <v>1</v>
      </c>
      <c r="H58" s="4">
        <v>349.92</v>
      </c>
      <c r="I58">
        <v>228993</v>
      </c>
      <c r="J58">
        <v>84.7</v>
      </c>
      <c r="K58" s="3">
        <v>24.450000000000003</v>
      </c>
      <c r="L58" s="2">
        <v>5.8325000000000005</v>
      </c>
      <c r="M58" s="4">
        <v>610.5</v>
      </c>
      <c r="N58" s="4">
        <v>926.5</v>
      </c>
      <c r="O58">
        <v>0.46</v>
      </c>
      <c r="P58" s="2">
        <v>9.9150000000000009</v>
      </c>
      <c r="Q58" s="2">
        <v>30.46</v>
      </c>
      <c r="R58" s="2">
        <v>27.66</v>
      </c>
      <c r="S58">
        <v>282</v>
      </c>
      <c r="T58">
        <v>185</v>
      </c>
      <c r="U58">
        <v>8</v>
      </c>
      <c r="V58">
        <v>138</v>
      </c>
      <c r="W58">
        <v>3220</v>
      </c>
      <c r="X58">
        <v>11.41843972</v>
      </c>
      <c r="Y58">
        <v>30.38</v>
      </c>
      <c r="AB58">
        <v>0.31599822399999999</v>
      </c>
      <c r="AC58">
        <v>0.112301111</v>
      </c>
      <c r="AD58">
        <v>3.6333352969999999</v>
      </c>
      <c r="AE58">
        <v>1.1919601259999999</v>
      </c>
      <c r="AF58">
        <v>1.495929404</v>
      </c>
      <c r="AG58">
        <v>2.533780127</v>
      </c>
      <c r="AH58">
        <v>4.8005313000000001E-2</v>
      </c>
      <c r="AI58">
        <v>1.7782520999999999E-2</v>
      </c>
      <c r="AJ58">
        <v>0</v>
      </c>
      <c r="AK58">
        <v>0</v>
      </c>
      <c r="AL58">
        <v>11.068728500000001</v>
      </c>
      <c r="AM58">
        <v>0.984226406</v>
      </c>
      <c r="AN58">
        <v>0.41683109899999998</v>
      </c>
      <c r="AO58">
        <v>7.2629842643322187E-2</v>
      </c>
      <c r="AP58">
        <v>7.1939610024254428</v>
      </c>
      <c r="AQ58">
        <v>0.17344611957823997</v>
      </c>
    </row>
    <row r="59" spans="1:43" x14ac:dyDescent="0.3">
      <c r="A59" t="s">
        <v>111</v>
      </c>
      <c r="B59" t="s">
        <v>109</v>
      </c>
      <c r="C59">
        <v>50.123626999999999</v>
      </c>
      <c r="D59">
        <v>-103.458354</v>
      </c>
      <c r="E59" s="1">
        <v>44389</v>
      </c>
      <c r="F59">
        <v>193</v>
      </c>
      <c r="G59">
        <v>1.3</v>
      </c>
      <c r="H59" s="4">
        <v>376.32</v>
      </c>
      <c r="I59">
        <v>284449</v>
      </c>
      <c r="J59">
        <v>100</v>
      </c>
      <c r="K59" s="3">
        <v>22.839999999999996</v>
      </c>
      <c r="L59" s="2">
        <v>5.418000000000001</v>
      </c>
      <c r="M59" s="4">
        <v>881.2</v>
      </c>
      <c r="N59">
        <v>845</v>
      </c>
      <c r="O59">
        <v>0.43</v>
      </c>
      <c r="P59" s="2">
        <v>9.7780000000000005</v>
      </c>
      <c r="Q59" s="2">
        <v>37.67</v>
      </c>
      <c r="R59" s="2">
        <v>28.52</v>
      </c>
      <c r="S59">
        <v>413</v>
      </c>
      <c r="T59">
        <v>312</v>
      </c>
      <c r="U59">
        <v>11</v>
      </c>
      <c r="V59">
        <v>273</v>
      </c>
      <c r="W59">
        <v>3470</v>
      </c>
      <c r="X59">
        <v>8.4019370460000005</v>
      </c>
      <c r="Y59">
        <v>6.69</v>
      </c>
      <c r="Z59">
        <v>2.84</v>
      </c>
      <c r="AA59">
        <f t="shared" si="1"/>
        <v>0.42451420029895359</v>
      </c>
      <c r="AB59">
        <v>6.2262030000000003E-2</v>
      </c>
      <c r="AC59">
        <v>0.15314566099999999</v>
      </c>
      <c r="AD59">
        <v>0.144094905</v>
      </c>
      <c r="AE59">
        <v>5.1017321999999997E-2</v>
      </c>
      <c r="AF59">
        <v>0.14775341</v>
      </c>
      <c r="AG59">
        <v>0.25478834900000003</v>
      </c>
      <c r="AI59">
        <v>2.2198834000000001E-2</v>
      </c>
      <c r="AJ59">
        <v>0</v>
      </c>
      <c r="AK59">
        <v>0</v>
      </c>
      <c r="AL59">
        <v>2.9394236939999998</v>
      </c>
      <c r="AM59">
        <v>0.22518908000000001</v>
      </c>
      <c r="AN59">
        <v>0.344684659</v>
      </c>
      <c r="AO59">
        <v>6.7840999999999999E-2</v>
      </c>
      <c r="AP59">
        <v>9.6638676950663616</v>
      </c>
      <c r="AQ59">
        <v>0.11488194869285445</v>
      </c>
    </row>
    <row r="60" spans="1:43" x14ac:dyDescent="0.3">
      <c r="A60" t="s">
        <v>111</v>
      </c>
      <c r="B60" t="s">
        <v>109</v>
      </c>
      <c r="C60">
        <v>50.123626999999999</v>
      </c>
      <c r="D60">
        <v>-103.458354</v>
      </c>
      <c r="E60" s="1">
        <v>44396</v>
      </c>
      <c r="F60">
        <v>200</v>
      </c>
      <c r="G60">
        <v>1.3</v>
      </c>
      <c r="H60" s="4">
        <v>387.09199999999998</v>
      </c>
      <c r="I60">
        <v>267793</v>
      </c>
      <c r="J60">
        <v>80</v>
      </c>
      <c r="K60" s="3">
        <v>23</v>
      </c>
      <c r="L60" s="2">
        <v>4.1425000000000001</v>
      </c>
      <c r="M60">
        <v>988</v>
      </c>
      <c r="N60" s="4">
        <v>950.5</v>
      </c>
      <c r="O60">
        <v>0.49</v>
      </c>
      <c r="P60">
        <v>9.51</v>
      </c>
      <c r="Q60">
        <v>40.92</v>
      </c>
      <c r="R60">
        <v>27.82</v>
      </c>
      <c r="S60">
        <v>506</v>
      </c>
      <c r="T60">
        <v>427</v>
      </c>
      <c r="U60">
        <v>10</v>
      </c>
      <c r="V60">
        <v>258</v>
      </c>
      <c r="W60">
        <v>3570</v>
      </c>
      <c r="X60">
        <v>7.0553359679999996</v>
      </c>
      <c r="Y60">
        <v>8.16</v>
      </c>
      <c r="Z60">
        <v>8.61</v>
      </c>
      <c r="AA60">
        <f t="shared" si="1"/>
        <v>1.0551470588235292</v>
      </c>
      <c r="AB60">
        <v>9.2484151000000001E-2</v>
      </c>
      <c r="AC60">
        <v>0.111219497</v>
      </c>
      <c r="AD60">
        <v>0.19964604599999999</v>
      </c>
      <c r="AE60">
        <v>0.596078679</v>
      </c>
      <c r="AF60">
        <v>0.14974808100000001</v>
      </c>
      <c r="AG60">
        <v>0.51214834600000003</v>
      </c>
      <c r="AI60">
        <v>1.0781979000000001E-2</v>
      </c>
      <c r="AJ60">
        <v>0</v>
      </c>
      <c r="AK60">
        <v>0</v>
      </c>
      <c r="AL60">
        <v>3.405286399</v>
      </c>
      <c r="AM60">
        <v>0.148024289</v>
      </c>
      <c r="AN60">
        <v>0.27989896600000003</v>
      </c>
      <c r="AO60">
        <v>9.4509195103511801E-2</v>
      </c>
      <c r="AP60">
        <v>11.138972042074796</v>
      </c>
      <c r="AQ60">
        <v>0.12264641143978823</v>
      </c>
    </row>
    <row r="61" spans="1:43" x14ac:dyDescent="0.3">
      <c r="A61" t="s">
        <v>111</v>
      </c>
      <c r="B61" t="s">
        <v>109</v>
      </c>
      <c r="C61">
        <v>50.123626999999999</v>
      </c>
      <c r="D61">
        <v>-103.458354</v>
      </c>
      <c r="E61" s="1">
        <v>44403</v>
      </c>
      <c r="F61">
        <v>207</v>
      </c>
      <c r="G61">
        <v>0.7</v>
      </c>
      <c r="H61" s="4">
        <v>408.8</v>
      </c>
      <c r="I61">
        <v>217187</v>
      </c>
      <c r="J61">
        <v>29.7</v>
      </c>
      <c r="K61" s="3">
        <v>22.325000000000003</v>
      </c>
      <c r="L61" s="2">
        <v>17.397500000000001</v>
      </c>
      <c r="M61" s="4">
        <v>929.5</v>
      </c>
      <c r="N61" s="4">
        <v>875.5</v>
      </c>
      <c r="O61">
        <v>0.46</v>
      </c>
      <c r="P61" s="2">
        <v>9.5549999999999997</v>
      </c>
      <c r="Q61" s="2">
        <v>42.86</v>
      </c>
      <c r="R61" s="2">
        <v>33.270000000000003</v>
      </c>
      <c r="S61">
        <v>530</v>
      </c>
      <c r="T61">
        <v>442</v>
      </c>
      <c r="U61">
        <v>265</v>
      </c>
      <c r="V61">
        <v>1070</v>
      </c>
      <c r="W61">
        <v>7660</v>
      </c>
      <c r="X61">
        <v>14.45283019</v>
      </c>
      <c r="Y61">
        <v>99.17</v>
      </c>
      <c r="Z61">
        <v>48.04</v>
      </c>
      <c r="AA61">
        <f t="shared" si="1"/>
        <v>0.48442069174145408</v>
      </c>
      <c r="AB61">
        <v>0.21345924299999999</v>
      </c>
      <c r="AC61">
        <v>9.3208158999999999E-2</v>
      </c>
      <c r="AD61">
        <v>8.9156303520000009</v>
      </c>
      <c r="AE61">
        <v>12.890457100000001</v>
      </c>
      <c r="AF61">
        <v>1.1188627010000001</v>
      </c>
      <c r="AG61">
        <v>10.880249750000001</v>
      </c>
      <c r="AH61">
        <v>0.26827331599999998</v>
      </c>
      <c r="AI61">
        <v>0.25885913500000002</v>
      </c>
      <c r="AJ61">
        <v>0</v>
      </c>
      <c r="AK61">
        <v>6.8524606000000002E-2</v>
      </c>
      <c r="AL61">
        <v>68.560419300000007</v>
      </c>
      <c r="AM61">
        <v>2.3324584490000002</v>
      </c>
      <c r="AN61">
        <v>1.4057942130000001</v>
      </c>
      <c r="AP61">
        <v>12.83971812099974</v>
      </c>
    </row>
    <row r="62" spans="1:43" x14ac:dyDescent="0.3">
      <c r="A62" t="s">
        <v>111</v>
      </c>
      <c r="B62" t="s">
        <v>109</v>
      </c>
      <c r="C62">
        <v>50.123626999999999</v>
      </c>
      <c r="D62">
        <v>-103.458354</v>
      </c>
      <c r="E62" s="1">
        <v>44411</v>
      </c>
      <c r="F62">
        <v>215</v>
      </c>
      <c r="G62">
        <v>1</v>
      </c>
      <c r="H62" s="4">
        <v>295.12</v>
      </c>
      <c r="I62">
        <v>184773</v>
      </c>
      <c r="J62">
        <v>27</v>
      </c>
      <c r="K62" s="3">
        <v>20.98</v>
      </c>
      <c r="L62" s="2">
        <v>7.4660000000000011</v>
      </c>
      <c r="M62" s="4">
        <v>980.6</v>
      </c>
      <c r="N62" s="4">
        <v>903.2</v>
      </c>
      <c r="O62" s="2">
        <v>0.72799999999999998</v>
      </c>
      <c r="P62" s="2">
        <v>9.4460000000000015</v>
      </c>
      <c r="Q62" s="2">
        <v>43.36</v>
      </c>
      <c r="R62" s="2">
        <v>39.68</v>
      </c>
      <c r="S62">
        <v>304</v>
      </c>
      <c r="T62">
        <v>160</v>
      </c>
      <c r="U62">
        <v>307</v>
      </c>
      <c r="V62">
        <v>2610</v>
      </c>
      <c r="W62">
        <v>9780</v>
      </c>
      <c r="X62">
        <v>32.171052629999998</v>
      </c>
      <c r="Y62">
        <v>217.4</v>
      </c>
      <c r="AB62">
        <v>0.51127613500000002</v>
      </c>
      <c r="AC62">
        <v>0.66961966699999997</v>
      </c>
      <c r="AD62">
        <v>5.1126495429999999</v>
      </c>
      <c r="AE62">
        <v>39.69230357</v>
      </c>
      <c r="AF62">
        <v>11.17031476</v>
      </c>
      <c r="AG62">
        <v>42.198337010000003</v>
      </c>
      <c r="AH62">
        <v>1.1705108660000001</v>
      </c>
      <c r="AI62">
        <v>0.24959473700000001</v>
      </c>
      <c r="AJ62">
        <v>0</v>
      </c>
      <c r="AK62">
        <v>0.14616314899999999</v>
      </c>
      <c r="AL62">
        <v>146.33965359999999</v>
      </c>
      <c r="AM62">
        <v>6.3520001239999999</v>
      </c>
      <c r="AN62">
        <v>8.2955836260000009</v>
      </c>
      <c r="AO62">
        <v>6.2186682823222449E-2</v>
      </c>
      <c r="AP62">
        <v>10.014316777489018</v>
      </c>
      <c r="AQ62">
        <v>0.13148939014543728</v>
      </c>
    </row>
    <row r="63" spans="1:43" x14ac:dyDescent="0.3">
      <c r="A63" t="s">
        <v>111</v>
      </c>
      <c r="B63" t="s">
        <v>109</v>
      </c>
      <c r="C63">
        <v>50.123626999999999</v>
      </c>
      <c r="D63">
        <v>-103.458354</v>
      </c>
      <c r="E63" s="1">
        <v>44417</v>
      </c>
      <c r="F63">
        <v>221</v>
      </c>
      <c r="G63">
        <v>1.1000000000000001</v>
      </c>
      <c r="H63" s="4">
        <v>304.91999999999996</v>
      </c>
      <c r="I63">
        <v>201960</v>
      </c>
      <c r="J63">
        <v>11.3</v>
      </c>
      <c r="K63" s="3">
        <v>19.860000000000003</v>
      </c>
      <c r="L63">
        <v>4.05</v>
      </c>
      <c r="M63" s="4">
        <v>999.2</v>
      </c>
      <c r="N63" s="4">
        <v>901.2</v>
      </c>
      <c r="O63" s="2">
        <v>0.496</v>
      </c>
      <c r="P63" s="2">
        <v>9.4280000000000008</v>
      </c>
      <c r="Q63" s="2">
        <v>50.11</v>
      </c>
      <c r="R63" s="2">
        <v>32.43</v>
      </c>
      <c r="S63">
        <v>408</v>
      </c>
      <c r="T63">
        <v>244</v>
      </c>
      <c r="U63">
        <v>3450</v>
      </c>
      <c r="V63">
        <v>1960</v>
      </c>
      <c r="W63">
        <v>10700</v>
      </c>
      <c r="X63">
        <v>26.225490199999999</v>
      </c>
      <c r="Y63">
        <v>164.42</v>
      </c>
      <c r="Z63">
        <v>173.71</v>
      </c>
      <c r="AA63">
        <f t="shared" si="1"/>
        <v>1.0565016421359934</v>
      </c>
      <c r="AB63">
        <v>2.3454235680000002</v>
      </c>
      <c r="AC63">
        <v>0.68272674200000005</v>
      </c>
      <c r="AD63">
        <v>1.3232461369999999</v>
      </c>
      <c r="AE63">
        <v>23.919830189999999</v>
      </c>
      <c r="AF63">
        <v>3.387585536</v>
      </c>
      <c r="AG63">
        <v>18.22904926</v>
      </c>
      <c r="AH63">
        <v>0.49520038199999999</v>
      </c>
      <c r="AI63">
        <v>0.35539952000000002</v>
      </c>
      <c r="AJ63">
        <v>0</v>
      </c>
      <c r="AK63">
        <v>9.6879771000000003E-2</v>
      </c>
      <c r="AL63">
        <v>60.56203876</v>
      </c>
      <c r="AM63">
        <v>10.31609941</v>
      </c>
      <c r="AN63">
        <v>2.822295719</v>
      </c>
      <c r="AO63">
        <v>6.3816602095287556E-2</v>
      </c>
      <c r="AP63">
        <v>8.8647751529283827</v>
      </c>
      <c r="AQ63">
        <v>0.17230104493012455</v>
      </c>
    </row>
    <row r="64" spans="1:43" x14ac:dyDescent="0.3">
      <c r="A64" t="s">
        <v>111</v>
      </c>
      <c r="B64" t="s">
        <v>109</v>
      </c>
      <c r="C64">
        <v>50.123626999999999</v>
      </c>
      <c r="D64">
        <v>-103.458354</v>
      </c>
      <c r="E64" s="1">
        <v>44424</v>
      </c>
      <c r="F64">
        <v>228</v>
      </c>
      <c r="G64">
        <v>1</v>
      </c>
      <c r="H64" s="4">
        <v>271.32</v>
      </c>
      <c r="I64">
        <v>166273</v>
      </c>
      <c r="J64">
        <v>26.3</v>
      </c>
      <c r="K64" s="3">
        <v>18.46</v>
      </c>
      <c r="L64">
        <v>4.26</v>
      </c>
      <c r="M64" s="4">
        <v>1068.5999999999999</v>
      </c>
      <c r="N64" s="4">
        <v>927.6</v>
      </c>
      <c r="O64" s="2">
        <v>0.52400000000000002</v>
      </c>
      <c r="P64" s="2">
        <v>9.2259999999999991</v>
      </c>
      <c r="Q64" s="2">
        <v>54.28</v>
      </c>
      <c r="R64" s="2">
        <v>34.15</v>
      </c>
      <c r="S64">
        <v>736</v>
      </c>
      <c r="T64">
        <v>574</v>
      </c>
      <c r="U64">
        <v>7410</v>
      </c>
      <c r="V64">
        <v>207</v>
      </c>
      <c r="W64">
        <v>13550</v>
      </c>
      <c r="X64">
        <v>18.410326090000002</v>
      </c>
      <c r="Y64">
        <v>172.32</v>
      </c>
      <c r="Z64">
        <v>148.06</v>
      </c>
      <c r="AA64">
        <f t="shared" si="1"/>
        <v>0.85921541318477257</v>
      </c>
      <c r="AB64">
        <v>1.2756101019999999</v>
      </c>
      <c r="AC64">
        <v>1.229851241</v>
      </c>
      <c r="AD64">
        <v>1.198050047</v>
      </c>
      <c r="AE64">
        <v>16.591499389999999</v>
      </c>
      <c r="AF64">
        <v>7.549460507</v>
      </c>
      <c r="AG64">
        <v>24.198024620000002</v>
      </c>
      <c r="AH64">
        <v>0.68614297999999996</v>
      </c>
      <c r="AI64">
        <v>2.5870379749999999</v>
      </c>
      <c r="AJ64">
        <v>0</v>
      </c>
      <c r="AK64">
        <v>0.489081194</v>
      </c>
      <c r="AL64">
        <v>30.005540969999998</v>
      </c>
      <c r="AM64">
        <v>11.901393000000001</v>
      </c>
      <c r="AN64">
        <v>1.659592038</v>
      </c>
      <c r="AO64">
        <v>9.7225163788853153E-2</v>
      </c>
      <c r="AP64">
        <v>6.120402159253759</v>
      </c>
      <c r="AQ64">
        <v>6.7947860506980234E-2</v>
      </c>
    </row>
    <row r="65" spans="1:43" x14ac:dyDescent="0.3">
      <c r="A65" t="s">
        <v>111</v>
      </c>
      <c r="B65" t="s">
        <v>109</v>
      </c>
      <c r="C65">
        <v>50.123626999999999</v>
      </c>
      <c r="D65">
        <v>-103.458354</v>
      </c>
      <c r="E65" s="1">
        <v>44434</v>
      </c>
      <c r="F65">
        <v>238</v>
      </c>
      <c r="G65">
        <v>1</v>
      </c>
      <c r="H65" s="4">
        <v>321.15999999999997</v>
      </c>
      <c r="I65">
        <v>204273</v>
      </c>
      <c r="J65">
        <v>18.7</v>
      </c>
      <c r="K65" s="3">
        <v>15.24</v>
      </c>
      <c r="L65">
        <v>16.95</v>
      </c>
      <c r="M65" s="4">
        <v>1043.4000000000001</v>
      </c>
      <c r="N65" s="4">
        <v>848.8</v>
      </c>
      <c r="O65">
        <v>0.52</v>
      </c>
      <c r="P65" s="2">
        <v>9.2040000000000006</v>
      </c>
      <c r="Q65" s="2">
        <v>53.6</v>
      </c>
      <c r="R65" s="2">
        <v>31.91</v>
      </c>
      <c r="S65">
        <v>516</v>
      </c>
      <c r="T65">
        <v>360</v>
      </c>
      <c r="U65">
        <v>160</v>
      </c>
      <c r="V65">
        <v>3780</v>
      </c>
      <c r="W65">
        <v>12000</v>
      </c>
      <c r="X65">
        <v>23.25581395</v>
      </c>
      <c r="Y65">
        <v>307.85000000000002</v>
      </c>
      <c r="Z65">
        <v>323.35000000000002</v>
      </c>
      <c r="AA65">
        <f t="shared" si="1"/>
        <v>1.050349196037031</v>
      </c>
      <c r="AB65">
        <v>3.6575229349999998</v>
      </c>
      <c r="AC65">
        <v>3.6750562050000002</v>
      </c>
      <c r="AD65">
        <v>2.6804543239999998</v>
      </c>
      <c r="AE65">
        <v>32.502976009999998</v>
      </c>
      <c r="AF65">
        <v>6.735893291</v>
      </c>
      <c r="AG65">
        <v>41.783401259999998</v>
      </c>
      <c r="AH65">
        <v>0.85471357199999998</v>
      </c>
      <c r="AI65">
        <v>0.26448302099999998</v>
      </c>
      <c r="AJ65">
        <v>0</v>
      </c>
      <c r="AK65">
        <v>0.80494161399999997</v>
      </c>
      <c r="AL65">
        <v>86.031922010000002</v>
      </c>
      <c r="AM65">
        <v>12.75464944</v>
      </c>
      <c r="AN65">
        <v>19.260129760000002</v>
      </c>
      <c r="AO65">
        <v>7.7210007717317508E-2</v>
      </c>
      <c r="AP65">
        <v>9.2297373604413355</v>
      </c>
      <c r="AQ65">
        <v>0.17575914918706143</v>
      </c>
    </row>
    <row r="66" spans="1:43" x14ac:dyDescent="0.3">
      <c r="A66" t="s">
        <v>111</v>
      </c>
      <c r="B66" t="s">
        <v>109</v>
      </c>
      <c r="C66">
        <v>50.123626999999999</v>
      </c>
      <c r="D66">
        <v>-103.458354</v>
      </c>
      <c r="E66" s="1">
        <v>44441</v>
      </c>
      <c r="F66">
        <v>245</v>
      </c>
      <c r="G66" t="s">
        <v>81</v>
      </c>
      <c r="Q66">
        <v>50.68</v>
      </c>
      <c r="R66">
        <v>41.69</v>
      </c>
      <c r="S66">
        <v>551</v>
      </c>
      <c r="T66">
        <v>343</v>
      </c>
      <c r="U66">
        <v>769</v>
      </c>
      <c r="V66">
        <v>4950</v>
      </c>
      <c r="W66">
        <v>12350</v>
      </c>
      <c r="X66">
        <v>22.413793099999999</v>
      </c>
      <c r="Y66">
        <v>528.91</v>
      </c>
      <c r="AB66">
        <v>0</v>
      </c>
      <c r="AC66">
        <v>12.75213669</v>
      </c>
      <c r="AD66">
        <v>8.2085835159999991</v>
      </c>
      <c r="AE66">
        <v>74.114099980000006</v>
      </c>
      <c r="AF66">
        <v>56.942834609999998</v>
      </c>
      <c r="AG66">
        <v>95.168835939999994</v>
      </c>
      <c r="AH66">
        <v>0.96464877900000001</v>
      </c>
      <c r="AI66">
        <v>3.3677802520000002</v>
      </c>
      <c r="AJ66">
        <v>0</v>
      </c>
      <c r="AK66">
        <v>0</v>
      </c>
      <c r="AL66">
        <v>69.480694349999993</v>
      </c>
      <c r="AM66">
        <v>154.32868210000001</v>
      </c>
      <c r="AN66">
        <v>12.91865541</v>
      </c>
      <c r="AO66">
        <v>0.1102592733811523</v>
      </c>
      <c r="AP66">
        <v>14.95112075070098</v>
      </c>
      <c r="AQ66">
        <v>0.13261742874781535</v>
      </c>
    </row>
    <row r="67" spans="1:43" x14ac:dyDescent="0.3">
      <c r="A67" t="s">
        <v>112</v>
      </c>
      <c r="B67" t="s">
        <v>12</v>
      </c>
      <c r="C67">
        <v>50.096336000000001</v>
      </c>
      <c r="D67">
        <v>-103.440468</v>
      </c>
      <c r="E67" s="1">
        <v>44348</v>
      </c>
      <c r="F67">
        <v>152</v>
      </c>
      <c r="G67">
        <v>1.7</v>
      </c>
      <c r="H67" s="4">
        <v>297</v>
      </c>
      <c r="I67">
        <v>225016</v>
      </c>
      <c r="J67">
        <v>59.7</v>
      </c>
      <c r="K67">
        <v>15.5</v>
      </c>
      <c r="L67">
        <v>12.379999999999999</v>
      </c>
      <c r="M67" s="4">
        <v>938.25</v>
      </c>
      <c r="N67" s="4">
        <v>752.25</v>
      </c>
      <c r="O67" s="2">
        <v>0.46250000000000002</v>
      </c>
      <c r="P67" s="2">
        <v>8.1125000000000007</v>
      </c>
      <c r="Q67" s="2">
        <v>46.52</v>
      </c>
      <c r="R67" s="2">
        <v>10.73</v>
      </c>
      <c r="S67">
        <v>16</v>
      </c>
      <c r="T67">
        <v>14</v>
      </c>
      <c r="U67">
        <v>13</v>
      </c>
      <c r="V67">
        <v>36</v>
      </c>
      <c r="W67">
        <v>1040</v>
      </c>
      <c r="X67">
        <v>65</v>
      </c>
      <c r="Y67">
        <v>2.5</v>
      </c>
      <c r="Z67">
        <v>1.24</v>
      </c>
      <c r="AA67">
        <f t="shared" si="1"/>
        <v>0.496</v>
      </c>
      <c r="AB67">
        <v>0.14848407499999999</v>
      </c>
      <c r="AC67">
        <v>1.3975388E-2</v>
      </c>
      <c r="AD67">
        <v>0.163580852</v>
      </c>
      <c r="AE67">
        <v>3.5611318000000003E-2</v>
      </c>
      <c r="AF67">
        <v>0.11820272800000001</v>
      </c>
      <c r="AG67">
        <v>0.10849745299999999</v>
      </c>
      <c r="AH67">
        <v>1.0479441000000001E-2</v>
      </c>
      <c r="AI67">
        <v>3.2725549999999999E-3</v>
      </c>
      <c r="AJ67">
        <v>0</v>
      </c>
      <c r="AK67">
        <v>0</v>
      </c>
      <c r="AL67">
        <v>0.72878202199999997</v>
      </c>
      <c r="AM67">
        <v>0.105088237</v>
      </c>
      <c r="AN67">
        <v>3.3016166999999999E-2</v>
      </c>
      <c r="AO67">
        <v>5.433129070140047E-2</v>
      </c>
      <c r="AP67">
        <v>7.4928748479531544</v>
      </c>
      <c r="AQ67">
        <v>8.5380790810275067E-2</v>
      </c>
    </row>
    <row r="68" spans="1:43" x14ac:dyDescent="0.3">
      <c r="A68" t="s">
        <v>112</v>
      </c>
      <c r="B68" t="s">
        <v>12</v>
      </c>
      <c r="C68">
        <v>50.096336000000001</v>
      </c>
      <c r="D68">
        <v>-103.440468</v>
      </c>
      <c r="E68" s="1">
        <v>44361</v>
      </c>
      <c r="F68">
        <v>165</v>
      </c>
      <c r="G68">
        <v>1.2</v>
      </c>
      <c r="H68" s="4">
        <v>297</v>
      </c>
      <c r="I68">
        <v>203612</v>
      </c>
      <c r="J68">
        <v>100</v>
      </c>
      <c r="K68" s="3">
        <v>20.139999999999997</v>
      </c>
      <c r="L68" s="2">
        <v>10.894</v>
      </c>
      <c r="M68" s="4">
        <v>954.2</v>
      </c>
      <c r="N68" s="4">
        <v>864.8</v>
      </c>
      <c r="O68">
        <v>0.46999999999999992</v>
      </c>
      <c r="P68" s="2">
        <v>8.1319999999999997</v>
      </c>
      <c r="Q68" s="2">
        <v>45.57</v>
      </c>
      <c r="R68" s="2">
        <v>10.68</v>
      </c>
      <c r="S68">
        <v>27</v>
      </c>
      <c r="T68">
        <v>16</v>
      </c>
      <c r="U68">
        <v>5</v>
      </c>
      <c r="V68">
        <v>21</v>
      </c>
      <c r="W68">
        <v>1090</v>
      </c>
      <c r="X68">
        <v>40.370370370000003</v>
      </c>
      <c r="Y68">
        <v>0.91</v>
      </c>
      <c r="Z68">
        <v>2.2999999999999998</v>
      </c>
      <c r="AA68">
        <f t="shared" si="1"/>
        <v>2.5274725274725274</v>
      </c>
      <c r="AB68">
        <v>2.7843125999999999E-2</v>
      </c>
      <c r="AC68">
        <v>1.2411327E-2</v>
      </c>
      <c r="AD68">
        <v>7.9610400999999997E-2</v>
      </c>
      <c r="AE68">
        <v>6.6730131999999998E-2</v>
      </c>
      <c r="AF68">
        <v>0</v>
      </c>
      <c r="AG68">
        <v>9.9402287000000006E-2</v>
      </c>
      <c r="AH68">
        <v>4.8914759999999996E-3</v>
      </c>
      <c r="AI68">
        <v>1.090852E-3</v>
      </c>
      <c r="AJ68">
        <v>1.1215773E-2</v>
      </c>
      <c r="AK68">
        <v>0</v>
      </c>
      <c r="AL68">
        <v>0.50608460899999996</v>
      </c>
      <c r="AM68">
        <v>0</v>
      </c>
      <c r="AP68">
        <v>8.5094154432786802</v>
      </c>
    </row>
    <row r="69" spans="1:43" x14ac:dyDescent="0.3">
      <c r="A69" t="s">
        <v>112</v>
      </c>
      <c r="B69" t="s">
        <v>12</v>
      </c>
      <c r="C69">
        <v>50.096336000000001</v>
      </c>
      <c r="D69">
        <v>-103.440468</v>
      </c>
      <c r="E69" s="1">
        <v>44368</v>
      </c>
      <c r="F69">
        <v>172</v>
      </c>
      <c r="G69">
        <v>1.2</v>
      </c>
      <c r="H69" s="4">
        <v>272.964</v>
      </c>
      <c r="I69">
        <v>182209</v>
      </c>
      <c r="J69">
        <v>100</v>
      </c>
      <c r="K69" s="3">
        <v>17.32</v>
      </c>
      <c r="L69" s="3">
        <v>10.244</v>
      </c>
      <c r="M69" s="4">
        <v>969.8</v>
      </c>
      <c r="N69" s="4">
        <v>827.2</v>
      </c>
      <c r="O69">
        <v>0.48</v>
      </c>
      <c r="P69">
        <v>8.23</v>
      </c>
      <c r="Q69">
        <v>46.7</v>
      </c>
      <c r="R69">
        <v>10.66</v>
      </c>
      <c r="S69">
        <v>32</v>
      </c>
      <c r="T69">
        <v>30</v>
      </c>
      <c r="U69">
        <v>14</v>
      </c>
      <c r="V69">
        <v>14</v>
      </c>
      <c r="W69">
        <v>1090</v>
      </c>
      <c r="X69">
        <v>34.0625</v>
      </c>
      <c r="Y69">
        <v>7.97</v>
      </c>
      <c r="AB69">
        <v>9.1308824999999996E-2</v>
      </c>
      <c r="AC69">
        <v>2.2418203000000001E-2</v>
      </c>
      <c r="AD69">
        <v>8.8678040999999999E-2</v>
      </c>
      <c r="AE69">
        <v>0.456328909</v>
      </c>
      <c r="AF69">
        <v>0</v>
      </c>
      <c r="AG69">
        <v>0.52278487200000001</v>
      </c>
      <c r="AH69">
        <v>8.6067130000000002E-3</v>
      </c>
      <c r="AI69">
        <v>5.3059029999999998E-3</v>
      </c>
      <c r="AJ69">
        <v>0</v>
      </c>
      <c r="AK69">
        <v>0</v>
      </c>
      <c r="AL69">
        <v>1.7617514299999999</v>
      </c>
      <c r="AM69">
        <v>0</v>
      </c>
      <c r="AN69">
        <v>0.115802738</v>
      </c>
      <c r="AO69">
        <v>5.1037927471200242E-2</v>
      </c>
      <c r="AP69">
        <v>8.6403209902302009</v>
      </c>
      <c r="AQ69">
        <v>0.116950563811394</v>
      </c>
    </row>
    <row r="70" spans="1:43" x14ac:dyDescent="0.3">
      <c r="A70" t="s">
        <v>112</v>
      </c>
      <c r="B70" t="s">
        <v>12</v>
      </c>
      <c r="C70">
        <v>50.096336000000001</v>
      </c>
      <c r="D70">
        <v>-103.440468</v>
      </c>
      <c r="E70" s="1">
        <v>44375</v>
      </c>
      <c r="F70">
        <v>179</v>
      </c>
      <c r="G70">
        <v>0.9</v>
      </c>
      <c r="H70" s="4">
        <v>272.964</v>
      </c>
      <c r="I70">
        <v>172343</v>
      </c>
      <c r="J70">
        <v>75</v>
      </c>
      <c r="K70">
        <v>21.5</v>
      </c>
      <c r="L70" s="2">
        <v>9.0924999999999994</v>
      </c>
      <c r="M70" s="4">
        <v>876.25</v>
      </c>
      <c r="N70" s="4">
        <v>813.5</v>
      </c>
      <c r="O70">
        <v>0.43</v>
      </c>
      <c r="P70">
        <v>8.0500000000000007</v>
      </c>
      <c r="Q70">
        <v>45.26</v>
      </c>
      <c r="R70">
        <v>12.41</v>
      </c>
      <c r="S70">
        <v>28</v>
      </c>
      <c r="T70">
        <v>28</v>
      </c>
      <c r="U70">
        <v>2</v>
      </c>
      <c r="V70">
        <v>32</v>
      </c>
      <c r="W70">
        <v>1240</v>
      </c>
      <c r="X70">
        <v>44.285714290000001</v>
      </c>
      <c r="Y70">
        <v>1.38</v>
      </c>
      <c r="Z70">
        <v>1.02</v>
      </c>
      <c r="AA70">
        <f t="shared" si="1"/>
        <v>0.73913043478260876</v>
      </c>
      <c r="AB70">
        <v>6.8818910000000002E-3</v>
      </c>
      <c r="AC70">
        <v>9.3376759999999996E-3</v>
      </c>
      <c r="AD70">
        <v>6.5084800999999998E-2</v>
      </c>
      <c r="AE70">
        <v>4.5144193999999999E-2</v>
      </c>
      <c r="AF70">
        <v>0</v>
      </c>
      <c r="AG70">
        <v>3.5441525000000001E-2</v>
      </c>
      <c r="AJ70">
        <v>0</v>
      </c>
      <c r="AK70">
        <v>0</v>
      </c>
      <c r="AL70">
        <v>0.34336312699999999</v>
      </c>
      <c r="AM70">
        <v>0</v>
      </c>
      <c r="AO70">
        <v>5.031702820542857E-2</v>
      </c>
      <c r="AP70">
        <v>7.8085280544125037</v>
      </c>
      <c r="AQ70">
        <v>0.10444254705534545</v>
      </c>
    </row>
    <row r="71" spans="1:43" x14ac:dyDescent="0.3">
      <c r="A71" t="s">
        <v>112</v>
      </c>
      <c r="B71" t="s">
        <v>12</v>
      </c>
      <c r="C71">
        <v>50.096336000000001</v>
      </c>
      <c r="D71">
        <v>-103.440468</v>
      </c>
      <c r="E71" s="1">
        <v>44382</v>
      </c>
      <c r="F71">
        <v>186</v>
      </c>
      <c r="G71">
        <v>0.9</v>
      </c>
      <c r="H71" s="4">
        <v>277.16000000000003</v>
      </c>
      <c r="I71">
        <v>162478</v>
      </c>
      <c r="J71">
        <v>75</v>
      </c>
      <c r="K71" s="3">
        <v>23.975000000000001</v>
      </c>
      <c r="L71" s="2">
        <v>7.714999999999999</v>
      </c>
      <c r="M71" s="4">
        <v>625.25</v>
      </c>
      <c r="N71" s="4">
        <v>941.75</v>
      </c>
      <c r="O71" s="2">
        <v>0.46749999999999997</v>
      </c>
      <c r="P71">
        <v>8.07</v>
      </c>
      <c r="Q71">
        <v>44.69</v>
      </c>
      <c r="R71">
        <v>11.59</v>
      </c>
      <c r="S71">
        <v>51</v>
      </c>
      <c r="T71">
        <v>28</v>
      </c>
      <c r="U71">
        <v>2</v>
      </c>
      <c r="V71">
        <v>35</v>
      </c>
      <c r="W71">
        <v>1200</v>
      </c>
      <c r="X71">
        <v>23.529411759999999</v>
      </c>
      <c r="Y71">
        <v>15.37</v>
      </c>
      <c r="Z71">
        <v>5.77</v>
      </c>
      <c r="AA71">
        <f t="shared" si="1"/>
        <v>0.37540663630448928</v>
      </c>
      <c r="AB71">
        <v>0.14011696600000001</v>
      </c>
      <c r="AC71">
        <v>0.228788614</v>
      </c>
      <c r="AD71">
        <v>3.3923083E-2</v>
      </c>
      <c r="AE71">
        <v>2.6157334969999999</v>
      </c>
      <c r="AF71">
        <v>0.80377855300000001</v>
      </c>
      <c r="AG71">
        <v>0.81677455899999996</v>
      </c>
      <c r="AH71">
        <v>6.5336786999999993E-2</v>
      </c>
      <c r="AI71">
        <v>9.3961612E-2</v>
      </c>
      <c r="AJ71">
        <v>0</v>
      </c>
      <c r="AK71">
        <v>0.211670472</v>
      </c>
      <c r="AL71">
        <v>6.9314846680000004</v>
      </c>
      <c r="AM71">
        <v>1.178039141</v>
      </c>
      <c r="AN71">
        <v>0.33775269299999999</v>
      </c>
      <c r="AO71">
        <v>7.9312795988680462E-2</v>
      </c>
      <c r="AP71">
        <v>8.8179996383595718</v>
      </c>
      <c r="AQ71">
        <v>0.10131560133934533</v>
      </c>
    </row>
    <row r="72" spans="1:43" x14ac:dyDescent="0.3">
      <c r="A72" t="s">
        <v>112</v>
      </c>
      <c r="B72" t="s">
        <v>12</v>
      </c>
      <c r="C72">
        <v>50.096336000000001</v>
      </c>
      <c r="D72">
        <v>-103.440468</v>
      </c>
      <c r="E72" s="1">
        <v>44389</v>
      </c>
      <c r="F72">
        <v>193</v>
      </c>
      <c r="G72">
        <v>0.9</v>
      </c>
      <c r="H72" s="4">
        <v>285.64799999999997</v>
      </c>
      <c r="I72">
        <v>169361</v>
      </c>
      <c r="J72">
        <v>75</v>
      </c>
      <c r="K72" s="3">
        <v>21.975000000000001</v>
      </c>
      <c r="L72" s="2">
        <v>6.4750000000000005</v>
      </c>
      <c r="M72" s="4">
        <v>896.75</v>
      </c>
      <c r="N72" s="4">
        <v>841.25</v>
      </c>
      <c r="O72">
        <v>0.44</v>
      </c>
      <c r="P72" s="2">
        <v>7.8724999999999996</v>
      </c>
      <c r="Q72" s="2">
        <v>42.33</v>
      </c>
      <c r="R72" s="2">
        <v>12.99</v>
      </c>
      <c r="S72">
        <v>15</v>
      </c>
      <c r="T72">
        <v>8</v>
      </c>
      <c r="U72">
        <v>2</v>
      </c>
      <c r="V72">
        <v>7</v>
      </c>
      <c r="W72">
        <v>1160</v>
      </c>
      <c r="X72">
        <v>77.333333330000002</v>
      </c>
      <c r="Y72">
        <v>6.41</v>
      </c>
      <c r="Z72">
        <v>11.73</v>
      </c>
      <c r="AA72">
        <f t="shared" si="1"/>
        <v>1.8299531981279251</v>
      </c>
      <c r="AB72">
        <v>0.122698714</v>
      </c>
      <c r="AC72">
        <v>7.6646753999999997E-2</v>
      </c>
      <c r="AD72">
        <v>0.49646907099999998</v>
      </c>
      <c r="AE72">
        <v>0.32389863499999999</v>
      </c>
      <c r="AF72">
        <v>0.210844117</v>
      </c>
      <c r="AG72">
        <v>0.28996131600000002</v>
      </c>
      <c r="AH72">
        <v>9.6748200000000006E-3</v>
      </c>
      <c r="AJ72">
        <v>0</v>
      </c>
      <c r="AK72">
        <v>3.9617679000000003E-2</v>
      </c>
      <c r="AL72">
        <v>2.7216370959999998</v>
      </c>
      <c r="AM72">
        <v>0.135113448</v>
      </c>
      <c r="AN72">
        <v>0.114818129</v>
      </c>
      <c r="AO72">
        <v>0.11005713642266607</v>
      </c>
      <c r="AP72">
        <v>7.7645953637993683</v>
      </c>
      <c r="AQ72">
        <v>0.11244427195478589</v>
      </c>
    </row>
    <row r="73" spans="1:43" x14ac:dyDescent="0.3">
      <c r="A73" t="s">
        <v>112</v>
      </c>
      <c r="B73" t="s">
        <v>12</v>
      </c>
      <c r="C73">
        <v>50.096336000000001</v>
      </c>
      <c r="D73">
        <v>-103.440468</v>
      </c>
      <c r="E73" s="1">
        <v>44396</v>
      </c>
      <c r="F73">
        <v>200</v>
      </c>
      <c r="G73">
        <v>1.7</v>
      </c>
      <c r="H73" s="4">
        <v>294.26400000000001</v>
      </c>
      <c r="I73">
        <v>222355</v>
      </c>
      <c r="K73" s="3">
        <v>20.324999999999999</v>
      </c>
      <c r="L73" s="2">
        <v>2.8250000000000002</v>
      </c>
      <c r="M73" s="4">
        <v>1039.5</v>
      </c>
      <c r="N73" s="4">
        <v>943.75</v>
      </c>
      <c r="O73" s="2">
        <v>0.51249999999999996</v>
      </c>
      <c r="P73">
        <v>7.43</v>
      </c>
      <c r="Q73">
        <v>50.18</v>
      </c>
      <c r="R73">
        <v>12.82</v>
      </c>
      <c r="S73">
        <v>125</v>
      </c>
      <c r="T73">
        <v>105</v>
      </c>
      <c r="U73">
        <v>7</v>
      </c>
      <c r="V73">
        <v>252</v>
      </c>
      <c r="W73">
        <v>1710</v>
      </c>
      <c r="X73">
        <v>13.68</v>
      </c>
      <c r="Y73">
        <v>55.53</v>
      </c>
      <c r="Z73">
        <v>89.1</v>
      </c>
      <c r="AA73">
        <f t="shared" si="1"/>
        <v>1.6045380875202593</v>
      </c>
      <c r="AB73">
        <v>0</v>
      </c>
      <c r="AC73">
        <v>1.435582022</v>
      </c>
      <c r="AD73">
        <v>0.303110343</v>
      </c>
      <c r="AE73">
        <v>1.051346919</v>
      </c>
      <c r="AF73">
        <v>1.4069079739999999</v>
      </c>
      <c r="AG73">
        <v>1.7355132870000001</v>
      </c>
      <c r="AH73">
        <v>0.23630046699999999</v>
      </c>
      <c r="AI73">
        <v>4.0497872999999997E-2</v>
      </c>
      <c r="AJ73">
        <v>0</v>
      </c>
      <c r="AK73">
        <v>0.21902274699999999</v>
      </c>
      <c r="AL73">
        <v>6.4340524459999999</v>
      </c>
      <c r="AM73">
        <v>0.96868835900000005</v>
      </c>
      <c r="AN73">
        <v>0.87832692700000004</v>
      </c>
      <c r="AO73">
        <v>0.11354442217105205</v>
      </c>
      <c r="AP73">
        <v>12.391614540354075</v>
      </c>
      <c r="AQ73">
        <v>0.15808516365781081</v>
      </c>
    </row>
    <row r="74" spans="1:43" x14ac:dyDescent="0.3">
      <c r="A74" t="s">
        <v>112</v>
      </c>
      <c r="B74" t="s">
        <v>12</v>
      </c>
      <c r="C74">
        <v>50.096336000000001</v>
      </c>
      <c r="D74">
        <v>-103.440468</v>
      </c>
      <c r="E74" s="1">
        <v>44403</v>
      </c>
      <c r="F74">
        <v>207</v>
      </c>
      <c r="G74">
        <v>0.8</v>
      </c>
      <c r="H74" s="4">
        <v>295.89999999999998</v>
      </c>
      <c r="I74">
        <v>163359</v>
      </c>
      <c r="J74">
        <v>88.3</v>
      </c>
      <c r="K74" s="3">
        <v>20.25</v>
      </c>
      <c r="L74">
        <v>1.4300000000000002</v>
      </c>
      <c r="M74">
        <v>946</v>
      </c>
      <c r="N74" s="4">
        <v>857.75</v>
      </c>
      <c r="O74" s="2">
        <v>0.46250000000000002</v>
      </c>
      <c r="P74" s="2">
        <v>7.3574999999999999</v>
      </c>
      <c r="Q74" s="2">
        <v>56.96</v>
      </c>
      <c r="R74" s="2">
        <v>13.71</v>
      </c>
      <c r="S74">
        <v>48</v>
      </c>
      <c r="T74">
        <v>20</v>
      </c>
      <c r="U74">
        <v>10</v>
      </c>
      <c r="V74">
        <v>42</v>
      </c>
      <c r="W74">
        <v>1410</v>
      </c>
      <c r="X74">
        <v>29.375</v>
      </c>
      <c r="Y74">
        <v>42.94</v>
      </c>
      <c r="Z74">
        <v>3.33</v>
      </c>
      <c r="AA74">
        <f t="shared" si="1"/>
        <v>7.7550069864927809E-2</v>
      </c>
      <c r="AB74">
        <v>9.1519514999999996E-2</v>
      </c>
      <c r="AC74">
        <v>1.8333280940000001</v>
      </c>
      <c r="AD74">
        <v>2.1936168559999998</v>
      </c>
      <c r="AE74">
        <v>3.559597787</v>
      </c>
      <c r="AF74">
        <v>2.0499418980000002</v>
      </c>
      <c r="AG74">
        <v>1.609106266</v>
      </c>
      <c r="AH74">
        <v>0.26122909900000002</v>
      </c>
      <c r="AI74">
        <v>0.149206165</v>
      </c>
      <c r="AJ74">
        <v>0</v>
      </c>
      <c r="AK74">
        <v>4.8047824000000003E-2</v>
      </c>
      <c r="AL74">
        <v>13.188144729999999</v>
      </c>
      <c r="AM74">
        <v>1.3997753209999999</v>
      </c>
      <c r="AN74">
        <v>1.025597455</v>
      </c>
      <c r="AP74">
        <v>11.898613555956011</v>
      </c>
    </row>
    <row r="75" spans="1:43" x14ac:dyDescent="0.3">
      <c r="A75" t="s">
        <v>112</v>
      </c>
      <c r="B75" t="s">
        <v>12</v>
      </c>
      <c r="C75">
        <v>50.096336000000001</v>
      </c>
      <c r="D75">
        <v>-103.440468</v>
      </c>
      <c r="E75" s="1">
        <v>44411</v>
      </c>
      <c r="F75">
        <v>215</v>
      </c>
      <c r="G75">
        <v>1</v>
      </c>
      <c r="H75" s="4">
        <v>279.27</v>
      </c>
      <c r="I75">
        <v>173400</v>
      </c>
      <c r="J75">
        <v>94.3</v>
      </c>
      <c r="K75">
        <v>20.800000000000004</v>
      </c>
      <c r="L75">
        <v>2.1599999999999997</v>
      </c>
      <c r="M75" s="4">
        <v>985.4</v>
      </c>
      <c r="N75" s="4">
        <v>904.8</v>
      </c>
      <c r="O75" s="2">
        <v>0.48799999999999999</v>
      </c>
      <c r="P75" s="2">
        <v>7.3239999999999998</v>
      </c>
      <c r="Q75" s="2">
        <v>59.12</v>
      </c>
      <c r="R75" s="2">
        <v>15.22</v>
      </c>
      <c r="S75">
        <v>36</v>
      </c>
      <c r="T75">
        <v>17</v>
      </c>
      <c r="U75">
        <v>9</v>
      </c>
      <c r="V75">
        <v>54</v>
      </c>
      <c r="W75">
        <v>1420</v>
      </c>
      <c r="X75">
        <v>39.444444439999998</v>
      </c>
      <c r="Y75">
        <v>37.659999999999997</v>
      </c>
      <c r="Z75">
        <v>25.27</v>
      </c>
      <c r="AA75">
        <f t="shared" si="1"/>
        <v>0.67100371747211895</v>
      </c>
      <c r="AB75">
        <v>3.6418185429999999</v>
      </c>
      <c r="AC75">
        <v>0.113286236</v>
      </c>
      <c r="AD75">
        <v>0.54767595899999999</v>
      </c>
      <c r="AE75">
        <v>1.259040892</v>
      </c>
      <c r="AF75">
        <v>1.8988529540000001</v>
      </c>
      <c r="AG75">
        <v>0.94430708200000002</v>
      </c>
      <c r="AH75">
        <v>7.7617183000000006E-2</v>
      </c>
      <c r="AI75">
        <v>0.10839248999999999</v>
      </c>
      <c r="AJ75">
        <v>0</v>
      </c>
      <c r="AK75">
        <v>0</v>
      </c>
      <c r="AL75">
        <v>9.3553221279999992</v>
      </c>
      <c r="AM75">
        <v>1.2204497510000001</v>
      </c>
      <c r="AN75">
        <v>0.35029851899999997</v>
      </c>
      <c r="AO75">
        <v>5.765776378374058E-2</v>
      </c>
      <c r="AP75">
        <v>8.5120896443024545</v>
      </c>
      <c r="AQ75">
        <v>0.13261742874781535</v>
      </c>
    </row>
    <row r="76" spans="1:43" x14ac:dyDescent="0.3">
      <c r="A76" t="s">
        <v>112</v>
      </c>
      <c r="B76" t="s">
        <v>12</v>
      </c>
      <c r="C76">
        <v>50.096336000000001</v>
      </c>
      <c r="D76">
        <v>-103.440468</v>
      </c>
      <c r="E76" s="1">
        <v>44417</v>
      </c>
      <c r="F76">
        <v>221</v>
      </c>
      <c r="G76">
        <v>1.3</v>
      </c>
      <c r="H76" s="4">
        <v>254.22900000000001</v>
      </c>
      <c r="I76">
        <v>169726</v>
      </c>
      <c r="J76">
        <v>125</v>
      </c>
      <c r="K76">
        <v>19.599999999999998</v>
      </c>
      <c r="L76" s="2">
        <v>3.0075000000000003</v>
      </c>
      <c r="M76" s="4">
        <v>1027.75</v>
      </c>
      <c r="N76" s="4">
        <v>922.25</v>
      </c>
      <c r="O76" s="2">
        <v>0.51249999999999996</v>
      </c>
      <c r="P76" s="2">
        <v>7.2750000000000004</v>
      </c>
      <c r="Q76" s="2">
        <v>64</v>
      </c>
      <c r="R76" s="2">
        <v>14.69</v>
      </c>
      <c r="S76">
        <v>45</v>
      </c>
      <c r="T76">
        <v>33</v>
      </c>
      <c r="U76">
        <v>55</v>
      </c>
      <c r="V76">
        <v>201</v>
      </c>
      <c r="W76">
        <v>1900</v>
      </c>
      <c r="X76">
        <v>42.222222219999999</v>
      </c>
      <c r="Y76">
        <v>183.02</v>
      </c>
      <c r="Z76">
        <v>32.18</v>
      </c>
      <c r="AA76">
        <f t="shared" si="1"/>
        <v>0.17582777838487595</v>
      </c>
      <c r="AB76">
        <v>6.0655562170000001</v>
      </c>
      <c r="AC76">
        <v>3.925169736</v>
      </c>
      <c r="AD76">
        <v>1.4195108219999999</v>
      </c>
      <c r="AE76">
        <v>1.605453185</v>
      </c>
      <c r="AF76">
        <v>1.0976354610000001</v>
      </c>
      <c r="AG76">
        <v>4.566615391</v>
      </c>
      <c r="AH76">
        <v>0.37223587600000002</v>
      </c>
      <c r="AI76">
        <v>0.58905816</v>
      </c>
      <c r="AJ76">
        <v>0</v>
      </c>
      <c r="AK76">
        <v>0</v>
      </c>
      <c r="AL76">
        <v>21.303517100000001</v>
      </c>
      <c r="AM76">
        <v>2.3145559169999999</v>
      </c>
      <c r="AN76">
        <v>2.0964631090000001</v>
      </c>
      <c r="AO76">
        <v>7.1612068814989077E-2</v>
      </c>
      <c r="AP76">
        <v>18.786727600725193</v>
      </c>
    </row>
    <row r="77" spans="1:43" x14ac:dyDescent="0.3">
      <c r="A77" t="s">
        <v>112</v>
      </c>
      <c r="B77" t="s">
        <v>12</v>
      </c>
      <c r="C77">
        <v>50.096336000000001</v>
      </c>
      <c r="D77">
        <v>-103.440468</v>
      </c>
      <c r="E77" s="1">
        <v>44424</v>
      </c>
      <c r="F77">
        <v>228</v>
      </c>
      <c r="G77">
        <v>1.4</v>
      </c>
      <c r="H77" s="4">
        <v>316.11</v>
      </c>
      <c r="I77">
        <v>190822</v>
      </c>
      <c r="J77">
        <v>90.7</v>
      </c>
      <c r="K77" s="3">
        <v>17.016666666666666</v>
      </c>
      <c r="L77">
        <v>5.6800000000000006</v>
      </c>
      <c r="M77" s="4">
        <v>1056.5</v>
      </c>
      <c r="N77" s="4">
        <v>894.66666666666663</v>
      </c>
      <c r="O77" s="2">
        <v>0.52500000000000002</v>
      </c>
      <c r="P77">
        <v>7.68</v>
      </c>
      <c r="Q77">
        <v>63.62</v>
      </c>
      <c r="R77">
        <v>15.38</v>
      </c>
      <c r="S77">
        <v>58</v>
      </c>
      <c r="T77">
        <v>29</v>
      </c>
      <c r="U77">
        <v>12</v>
      </c>
      <c r="V77">
        <v>89</v>
      </c>
      <c r="W77">
        <v>1740</v>
      </c>
      <c r="X77">
        <v>30</v>
      </c>
      <c r="Y77">
        <v>78.62</v>
      </c>
      <c r="Z77">
        <v>77.11</v>
      </c>
      <c r="AA77">
        <f t="shared" si="1"/>
        <v>0.98079369117272952</v>
      </c>
      <c r="AB77">
        <v>0</v>
      </c>
      <c r="AC77">
        <v>3.375842064</v>
      </c>
      <c r="AD77">
        <v>3.6649561899999998</v>
      </c>
      <c r="AE77">
        <v>6.4047777459999997</v>
      </c>
      <c r="AF77">
        <v>1.3595776319999999</v>
      </c>
      <c r="AG77">
        <v>1.932682099</v>
      </c>
      <c r="AI77">
        <v>0.10086561300000001</v>
      </c>
      <c r="AJ77">
        <v>0</v>
      </c>
      <c r="AK77">
        <v>0</v>
      </c>
      <c r="AL77">
        <v>13.68966314</v>
      </c>
      <c r="AM77">
        <v>1.1016750209999999</v>
      </c>
      <c r="AN77">
        <v>0.36184385499999999</v>
      </c>
      <c r="AP77">
        <v>8.4261329008696961</v>
      </c>
      <c r="AQ77">
        <v>0.2019892022174502</v>
      </c>
    </row>
    <row r="78" spans="1:43" x14ac:dyDescent="0.3">
      <c r="A78" t="s">
        <v>112</v>
      </c>
      <c r="B78" t="s">
        <v>12</v>
      </c>
      <c r="C78">
        <v>50.096336000000001</v>
      </c>
      <c r="D78">
        <v>-103.440468</v>
      </c>
      <c r="E78" s="1">
        <v>44434</v>
      </c>
      <c r="F78">
        <v>238</v>
      </c>
      <c r="G78">
        <v>1.3</v>
      </c>
      <c r="H78" s="4">
        <v>321.15999999999997</v>
      </c>
      <c r="I78">
        <v>188483</v>
      </c>
      <c r="J78">
        <v>75.3</v>
      </c>
      <c r="K78">
        <v>14.199999999999998</v>
      </c>
      <c r="L78" s="2">
        <v>6.3666666666666663</v>
      </c>
      <c r="M78">
        <v>1017</v>
      </c>
      <c r="N78">
        <v>808</v>
      </c>
      <c r="O78">
        <v>0.51</v>
      </c>
      <c r="P78" s="2">
        <v>7.7633333333333328</v>
      </c>
      <c r="Q78" s="2">
        <v>63.84</v>
      </c>
      <c r="R78" s="2">
        <v>15.93</v>
      </c>
      <c r="S78">
        <v>65</v>
      </c>
      <c r="T78">
        <v>21</v>
      </c>
      <c r="U78">
        <v>2</v>
      </c>
      <c r="V78">
        <v>79</v>
      </c>
      <c r="W78">
        <v>1700</v>
      </c>
      <c r="X78">
        <v>26.15384615</v>
      </c>
      <c r="Y78">
        <v>48.09</v>
      </c>
      <c r="Z78">
        <v>26.94</v>
      </c>
      <c r="AA78">
        <f t="shared" si="1"/>
        <v>0.56019962570180915</v>
      </c>
      <c r="AB78">
        <v>0.221893748</v>
      </c>
      <c r="AC78">
        <v>0.82152091400000005</v>
      </c>
      <c r="AD78">
        <v>2.8567172329999999</v>
      </c>
      <c r="AE78">
        <v>3.0711639050000001</v>
      </c>
      <c r="AF78">
        <v>1.0972907030000001</v>
      </c>
      <c r="AG78">
        <v>0.92917017400000002</v>
      </c>
      <c r="AH78">
        <v>0.22660487100000001</v>
      </c>
      <c r="AI78">
        <v>0.102903869</v>
      </c>
      <c r="AJ78">
        <v>1.1585438E-2</v>
      </c>
      <c r="AK78">
        <v>0</v>
      </c>
      <c r="AL78">
        <v>11.36645429</v>
      </c>
      <c r="AM78">
        <v>1.171658783</v>
      </c>
      <c r="AN78">
        <v>0.229437748</v>
      </c>
      <c r="AP78">
        <v>9.2751123339147501</v>
      </c>
    </row>
    <row r="79" spans="1:43" x14ac:dyDescent="0.3">
      <c r="A79" t="s">
        <v>112</v>
      </c>
      <c r="B79" t="s">
        <v>12</v>
      </c>
      <c r="C79">
        <v>50.096336000000001</v>
      </c>
      <c r="D79">
        <v>-103.440468</v>
      </c>
      <c r="E79" s="1">
        <v>44441</v>
      </c>
      <c r="F79">
        <v>245</v>
      </c>
      <c r="G79">
        <v>1.4</v>
      </c>
      <c r="H79" s="4">
        <v>304.91999999999996</v>
      </c>
      <c r="I79">
        <v>168094</v>
      </c>
      <c r="J79">
        <v>84.7</v>
      </c>
      <c r="K79" s="3">
        <v>16.233333333333331</v>
      </c>
      <c r="L79" s="2">
        <v>2.3266666666666667</v>
      </c>
      <c r="M79">
        <v>1032</v>
      </c>
      <c r="N79" s="4">
        <v>856.66666666666663</v>
      </c>
      <c r="O79">
        <v>0.51</v>
      </c>
      <c r="P79" s="2">
        <v>7.6433333333333335</v>
      </c>
      <c r="Q79" s="2">
        <v>68.33</v>
      </c>
      <c r="R79" s="2">
        <v>15.35</v>
      </c>
      <c r="S79">
        <v>67</v>
      </c>
      <c r="T79">
        <v>47</v>
      </c>
      <c r="U79">
        <v>2</v>
      </c>
      <c r="V79">
        <v>126</v>
      </c>
      <c r="W79">
        <v>2870</v>
      </c>
      <c r="X79">
        <v>42.835820900000002</v>
      </c>
      <c r="Y79">
        <v>45.68</v>
      </c>
      <c r="Z79">
        <v>20.99</v>
      </c>
      <c r="AA79">
        <f t="shared" si="1"/>
        <v>0.45950087565674252</v>
      </c>
      <c r="AB79">
        <v>0</v>
      </c>
      <c r="AC79">
        <v>0.46017621399999997</v>
      </c>
      <c r="AD79">
        <v>2.3045864410000001</v>
      </c>
      <c r="AE79">
        <v>0.70678714499999995</v>
      </c>
      <c r="AF79">
        <v>0.45847883299999997</v>
      </c>
      <c r="AG79">
        <v>0.26165692499999998</v>
      </c>
      <c r="AH79">
        <v>0.106740803</v>
      </c>
      <c r="AI79">
        <v>1.4835585E-2</v>
      </c>
      <c r="AJ79">
        <v>0</v>
      </c>
      <c r="AK79">
        <v>4.3666458999999998E-2</v>
      </c>
      <c r="AL79">
        <v>12.815993649999999</v>
      </c>
      <c r="AM79">
        <v>1.97535861</v>
      </c>
      <c r="AN79">
        <v>0.30811913499999999</v>
      </c>
      <c r="AO79">
        <v>0.12107595785985074</v>
      </c>
      <c r="AP79">
        <v>11.182899783148638</v>
      </c>
      <c r="AQ79">
        <v>0.1384706011545071</v>
      </c>
    </row>
    <row r="80" spans="1:43" x14ac:dyDescent="0.3">
      <c r="E80" s="1"/>
    </row>
  </sheetData>
  <phoneticPr fontId="2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opLeftCell="A3" workbookViewId="0">
      <selection activeCell="H21" sqref="H21"/>
    </sheetView>
  </sheetViews>
  <sheetFormatPr defaultRowHeight="14.4" x14ac:dyDescent="0.3"/>
  <cols>
    <col min="2" max="2" width="57.109375" customWidth="1"/>
    <col min="3" max="3" width="10.5546875" customWidth="1"/>
  </cols>
  <sheetData>
    <row r="1" spans="1:4" x14ac:dyDescent="0.3">
      <c r="A1" s="7" t="s">
        <v>29</v>
      </c>
    </row>
    <row r="2" spans="1:4" x14ac:dyDescent="0.3">
      <c r="A2" s="7" t="s">
        <v>37</v>
      </c>
      <c r="B2" s="7" t="s">
        <v>38</v>
      </c>
      <c r="C2" s="7" t="s">
        <v>39</v>
      </c>
    </row>
    <row r="3" spans="1:4" x14ac:dyDescent="0.3">
      <c r="A3" t="s">
        <v>89</v>
      </c>
      <c r="B3" t="s">
        <v>90</v>
      </c>
    </row>
    <row r="4" spans="1:4" x14ac:dyDescent="0.3">
      <c r="A4" t="s">
        <v>1</v>
      </c>
      <c r="B4" t="s">
        <v>40</v>
      </c>
      <c r="D4" t="s">
        <v>107</v>
      </c>
    </row>
    <row r="5" spans="1:4" x14ac:dyDescent="0.3">
      <c r="A5" t="s">
        <v>95</v>
      </c>
      <c r="B5" t="s">
        <v>97</v>
      </c>
    </row>
    <row r="6" spans="1:4" x14ac:dyDescent="0.3">
      <c r="A6" t="s">
        <v>96</v>
      </c>
      <c r="B6" t="s">
        <v>87</v>
      </c>
    </row>
    <row r="7" spans="1:4" x14ac:dyDescent="0.3">
      <c r="A7" t="s">
        <v>0</v>
      </c>
      <c r="B7" t="s">
        <v>91</v>
      </c>
    </row>
    <row r="8" spans="1:4" x14ac:dyDescent="0.3">
      <c r="A8" t="s">
        <v>2</v>
      </c>
      <c r="B8" t="s">
        <v>41</v>
      </c>
    </row>
    <row r="9" spans="1:4" x14ac:dyDescent="0.3">
      <c r="A9" t="s">
        <v>35</v>
      </c>
      <c r="B9" t="s">
        <v>35</v>
      </c>
      <c r="C9" t="s">
        <v>42</v>
      </c>
    </row>
    <row r="10" spans="1:4" x14ac:dyDescent="0.3">
      <c r="A10" t="s">
        <v>34</v>
      </c>
      <c r="B10" t="s">
        <v>102</v>
      </c>
      <c r="C10" t="s">
        <v>103</v>
      </c>
    </row>
    <row r="11" spans="1:4" x14ac:dyDescent="0.3">
      <c r="A11" t="s">
        <v>82</v>
      </c>
      <c r="B11" t="s">
        <v>92</v>
      </c>
      <c r="C11" t="s">
        <v>83</v>
      </c>
    </row>
    <row r="12" spans="1:4" x14ac:dyDescent="0.3">
      <c r="A12" t="s">
        <v>36</v>
      </c>
      <c r="B12" t="s">
        <v>93</v>
      </c>
      <c r="C12" t="s">
        <v>43</v>
      </c>
    </row>
    <row r="13" spans="1:4" x14ac:dyDescent="0.3">
      <c r="A13" t="s">
        <v>30</v>
      </c>
      <c r="B13" t="s">
        <v>44</v>
      </c>
      <c r="C13" s="12" t="s">
        <v>45</v>
      </c>
      <c r="D13" t="s">
        <v>88</v>
      </c>
    </row>
    <row r="14" spans="1:4" x14ac:dyDescent="0.3">
      <c r="A14" t="s">
        <v>31</v>
      </c>
      <c r="B14" t="s">
        <v>46</v>
      </c>
      <c r="C14" s="12" t="s">
        <v>47</v>
      </c>
    </row>
    <row r="15" spans="1:4" x14ac:dyDescent="0.3">
      <c r="A15" t="s">
        <v>32</v>
      </c>
      <c r="B15" t="s">
        <v>48</v>
      </c>
      <c r="C15" s="12" t="s">
        <v>94</v>
      </c>
    </row>
    <row r="16" spans="1:4" x14ac:dyDescent="0.3">
      <c r="A16" t="s">
        <v>33</v>
      </c>
      <c r="B16" t="s">
        <v>50</v>
      </c>
      <c r="C16" s="13" t="s">
        <v>49</v>
      </c>
    </row>
    <row r="17" spans="1:8" x14ac:dyDescent="0.3">
      <c r="A17" t="s">
        <v>34</v>
      </c>
      <c r="B17" t="s">
        <v>51</v>
      </c>
      <c r="C17" s="13" t="s">
        <v>52</v>
      </c>
    </row>
    <row r="18" spans="1:8" x14ac:dyDescent="0.3">
      <c r="A18" t="s">
        <v>3</v>
      </c>
      <c r="B18" t="s">
        <v>3</v>
      </c>
    </row>
    <row r="19" spans="1:8" x14ac:dyDescent="0.3">
      <c r="A19" t="s">
        <v>84</v>
      </c>
      <c r="B19" t="s">
        <v>100</v>
      </c>
      <c r="C19" s="14" t="s">
        <v>99</v>
      </c>
    </row>
    <row r="20" spans="1:8" x14ac:dyDescent="0.3">
      <c r="A20" t="s">
        <v>85</v>
      </c>
      <c r="B20" t="s">
        <v>98</v>
      </c>
      <c r="C20" s="14" t="s">
        <v>47</v>
      </c>
    </row>
    <row r="21" spans="1:8" x14ac:dyDescent="0.3">
      <c r="A21" t="s">
        <v>6</v>
      </c>
      <c r="B21" t="s">
        <v>53</v>
      </c>
      <c r="C21" s="8" t="s">
        <v>54</v>
      </c>
    </row>
    <row r="22" spans="1:8" x14ac:dyDescent="0.3">
      <c r="A22" t="s">
        <v>7</v>
      </c>
      <c r="B22" t="s">
        <v>55</v>
      </c>
      <c r="C22" s="8" t="s">
        <v>54</v>
      </c>
    </row>
    <row r="23" spans="1:8" ht="15.6" x14ac:dyDescent="0.35">
      <c r="A23" t="s">
        <v>8</v>
      </c>
      <c r="B23" t="s">
        <v>56</v>
      </c>
      <c r="C23" s="8" t="s">
        <v>54</v>
      </c>
    </row>
    <row r="24" spans="1:8" ht="15.6" x14ac:dyDescent="0.35">
      <c r="A24" t="s">
        <v>9</v>
      </c>
      <c r="B24" t="s">
        <v>57</v>
      </c>
      <c r="C24" s="8" t="s">
        <v>54</v>
      </c>
    </row>
    <row r="25" spans="1:8" x14ac:dyDescent="0.3">
      <c r="A25" t="s">
        <v>10</v>
      </c>
      <c r="B25" t="s">
        <v>58</v>
      </c>
      <c r="C25" s="8" t="s">
        <v>54</v>
      </c>
    </row>
    <row r="26" spans="1:8" x14ac:dyDescent="0.3">
      <c r="A26" t="s">
        <v>11</v>
      </c>
      <c r="B26" t="s">
        <v>59</v>
      </c>
      <c r="C26" s="8" t="s">
        <v>54</v>
      </c>
    </row>
    <row r="27" spans="1:8" x14ac:dyDescent="0.3">
      <c r="A27" t="s">
        <v>4</v>
      </c>
      <c r="B27" t="s">
        <v>60</v>
      </c>
      <c r="C27" s="8" t="s">
        <v>54</v>
      </c>
    </row>
    <row r="28" spans="1:8" x14ac:dyDescent="0.3">
      <c r="A28" t="s">
        <v>5</v>
      </c>
      <c r="B28" t="s">
        <v>61</v>
      </c>
      <c r="C28" s="8" t="s">
        <v>54</v>
      </c>
    </row>
    <row r="29" spans="1:8" x14ac:dyDescent="0.3">
      <c r="A29" t="s">
        <v>86</v>
      </c>
      <c r="B29" t="s">
        <v>108</v>
      </c>
      <c r="C29" s="8"/>
    </row>
    <row r="30" spans="1:8" x14ac:dyDescent="0.3">
      <c r="A30" t="s">
        <v>13</v>
      </c>
      <c r="B30" t="s">
        <v>62</v>
      </c>
      <c r="C30" s="8" t="s">
        <v>63</v>
      </c>
      <c r="D30" s="10" t="s">
        <v>66</v>
      </c>
      <c r="E30" s="11"/>
      <c r="F30" s="11"/>
      <c r="G30" s="11"/>
      <c r="H30" s="11"/>
    </row>
    <row r="31" spans="1:8" x14ac:dyDescent="0.3">
      <c r="A31" t="s">
        <v>14</v>
      </c>
      <c r="B31" t="s">
        <v>64</v>
      </c>
      <c r="C31" s="8" t="s">
        <v>63</v>
      </c>
    </row>
    <row r="32" spans="1:8" x14ac:dyDescent="0.3">
      <c r="A32" t="s">
        <v>15</v>
      </c>
      <c r="B32" t="s">
        <v>65</v>
      </c>
      <c r="C32" s="8" t="s">
        <v>63</v>
      </c>
    </row>
    <row r="33" spans="1:3" x14ac:dyDescent="0.3">
      <c r="A33" t="s">
        <v>16</v>
      </c>
      <c r="B33" t="s">
        <v>67</v>
      </c>
      <c r="C33" s="8" t="s">
        <v>63</v>
      </c>
    </row>
    <row r="34" spans="1:3" x14ac:dyDescent="0.3">
      <c r="A34" t="s">
        <v>17</v>
      </c>
      <c r="B34" t="s">
        <v>68</v>
      </c>
      <c r="C34" s="8" t="s">
        <v>63</v>
      </c>
    </row>
    <row r="35" spans="1:3" x14ac:dyDescent="0.3">
      <c r="A35" t="s">
        <v>18</v>
      </c>
      <c r="B35" t="s">
        <v>69</v>
      </c>
      <c r="C35" s="8" t="s">
        <v>63</v>
      </c>
    </row>
    <row r="36" spans="1:3" x14ac:dyDescent="0.3">
      <c r="A36" t="s">
        <v>19</v>
      </c>
      <c r="B36" t="s">
        <v>70</v>
      </c>
      <c r="C36" s="8" t="s">
        <v>63</v>
      </c>
    </row>
    <row r="37" spans="1:3" x14ac:dyDescent="0.3">
      <c r="A37" t="s">
        <v>20</v>
      </c>
      <c r="B37" t="s">
        <v>71</v>
      </c>
      <c r="C37" s="8" t="s">
        <v>63</v>
      </c>
    </row>
    <row r="38" spans="1:3" x14ac:dyDescent="0.3">
      <c r="A38" t="s">
        <v>21</v>
      </c>
      <c r="B38" t="s">
        <v>72</v>
      </c>
      <c r="C38" s="8" t="s">
        <v>63</v>
      </c>
    </row>
    <row r="39" spans="1:3" x14ac:dyDescent="0.3">
      <c r="A39" t="s">
        <v>22</v>
      </c>
      <c r="B39" t="s">
        <v>73</v>
      </c>
      <c r="C39" s="8" t="s">
        <v>63</v>
      </c>
    </row>
    <row r="40" spans="1:3" x14ac:dyDescent="0.3">
      <c r="A40" t="s">
        <v>23</v>
      </c>
      <c r="B40" t="s">
        <v>74</v>
      </c>
      <c r="C40" s="8" t="s">
        <v>63</v>
      </c>
    </row>
    <row r="41" spans="1:3" x14ac:dyDescent="0.3">
      <c r="A41" t="s">
        <v>24</v>
      </c>
      <c r="B41" t="s">
        <v>75</v>
      </c>
      <c r="C41" s="8" t="s">
        <v>63</v>
      </c>
    </row>
    <row r="42" spans="1:3" x14ac:dyDescent="0.3">
      <c r="A42" t="s">
        <v>25</v>
      </c>
      <c r="B42" s="8" t="s">
        <v>76</v>
      </c>
      <c r="C42" s="8" t="s">
        <v>63</v>
      </c>
    </row>
    <row r="43" spans="1:3" x14ac:dyDescent="0.3">
      <c r="A43" s="9" t="s">
        <v>27</v>
      </c>
      <c r="B43" s="8" t="s">
        <v>78</v>
      </c>
      <c r="C43" s="8" t="s">
        <v>77</v>
      </c>
    </row>
    <row r="44" spans="1:3" x14ac:dyDescent="0.3">
      <c r="A44" s="9" t="s">
        <v>26</v>
      </c>
      <c r="B44" s="8" t="s">
        <v>80</v>
      </c>
      <c r="C44" s="8" t="s">
        <v>77</v>
      </c>
    </row>
    <row r="45" spans="1:3" x14ac:dyDescent="0.3">
      <c r="A45" s="9" t="s">
        <v>28</v>
      </c>
      <c r="B45" t="s">
        <v>79</v>
      </c>
      <c r="C45" s="8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Reservoir 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 Gushulak</dc:creator>
  <cp:lastModifiedBy>Cale Gushulak</cp:lastModifiedBy>
  <dcterms:created xsi:type="dcterms:W3CDTF">2022-03-18T17:40:56Z</dcterms:created>
  <dcterms:modified xsi:type="dcterms:W3CDTF">2025-08-21T00:16:57Z</dcterms:modified>
</cp:coreProperties>
</file>