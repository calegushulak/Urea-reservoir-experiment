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aleg\Dropbox\University of Regina PostDoc\Urea dugouts\Submission\Data for upload\"/>
    </mc:Choice>
  </mc:AlternateContent>
  <xr:revisionPtr revIDLastSave="0" documentId="8_{B5994660-6EE8-4212-A1C4-7B842FB86BE5}" xr6:coauthVersionLast="47" xr6:coauthVersionMax="47" xr10:uidLastSave="{00000000-0000-0000-0000-000000000000}"/>
  <bookViews>
    <workbookView xWindow="-108" yWindow="-108" windowWidth="23256" windowHeight="12576" xr2:uid="{253B522A-BA1C-461B-8831-01F69AF0E1F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S96" i="1" l="1"/>
  <c r="R96" i="1"/>
  <c r="Q96" i="1"/>
  <c r="P96" i="1"/>
  <c r="O96" i="1"/>
  <c r="N96" i="1"/>
  <c r="M96" i="1"/>
  <c r="K96" i="1"/>
  <c r="S95" i="1"/>
  <c r="R95" i="1"/>
  <c r="Q95" i="1"/>
  <c r="P95" i="1"/>
  <c r="O95" i="1"/>
  <c r="N95" i="1"/>
  <c r="M95" i="1"/>
  <c r="K95" i="1"/>
  <c r="S94" i="1"/>
  <c r="R94" i="1"/>
  <c r="Q94" i="1"/>
  <c r="P94" i="1"/>
  <c r="O94" i="1"/>
  <c r="N94" i="1"/>
  <c r="M94" i="1"/>
  <c r="K94" i="1"/>
  <c r="S93" i="1"/>
  <c r="R93" i="1"/>
  <c r="Q93" i="1"/>
  <c r="P93" i="1"/>
  <c r="O93" i="1"/>
  <c r="N93" i="1"/>
  <c r="M93" i="1"/>
  <c r="K93" i="1"/>
  <c r="S92" i="1"/>
  <c r="R92" i="1"/>
  <c r="Q92" i="1"/>
  <c r="P92" i="1"/>
  <c r="O92" i="1"/>
  <c r="N92" i="1"/>
  <c r="M92" i="1"/>
  <c r="K92" i="1"/>
  <c r="S91" i="1"/>
  <c r="R91" i="1"/>
  <c r="Q91" i="1"/>
  <c r="P91" i="1"/>
  <c r="O91" i="1"/>
  <c r="N91" i="1"/>
  <c r="M91" i="1"/>
  <c r="K91" i="1"/>
  <c r="S90" i="1"/>
  <c r="R90" i="1"/>
  <c r="Q90" i="1"/>
  <c r="P90" i="1"/>
  <c r="O90" i="1"/>
  <c r="N90" i="1"/>
  <c r="M90" i="1"/>
  <c r="K90" i="1"/>
  <c r="S89" i="1"/>
  <c r="R89" i="1"/>
  <c r="Q89" i="1"/>
  <c r="P89" i="1"/>
  <c r="O89" i="1"/>
  <c r="N89" i="1"/>
  <c r="M89" i="1"/>
  <c r="K89" i="1"/>
  <c r="S88" i="1"/>
  <c r="R88" i="1"/>
  <c r="Q88" i="1"/>
  <c r="P88" i="1"/>
  <c r="O88" i="1"/>
  <c r="N88" i="1"/>
  <c r="M88" i="1"/>
  <c r="K88" i="1"/>
  <c r="S87" i="1"/>
  <c r="R87" i="1"/>
  <c r="Q87" i="1"/>
  <c r="P87" i="1"/>
  <c r="O87" i="1"/>
  <c r="N87" i="1"/>
  <c r="M87" i="1"/>
  <c r="K87" i="1"/>
  <c r="S86" i="1"/>
  <c r="R86" i="1"/>
  <c r="Q86" i="1"/>
  <c r="P86" i="1"/>
  <c r="O86" i="1"/>
  <c r="N86" i="1"/>
  <c r="M86" i="1"/>
  <c r="K86" i="1"/>
  <c r="S85" i="1"/>
  <c r="R85" i="1"/>
  <c r="Q85" i="1"/>
  <c r="P85" i="1"/>
  <c r="O85" i="1"/>
  <c r="N85" i="1"/>
  <c r="M85" i="1"/>
  <c r="K85" i="1"/>
  <c r="S84" i="1"/>
  <c r="R84" i="1"/>
  <c r="Q84" i="1"/>
  <c r="P84" i="1"/>
  <c r="O84" i="1"/>
  <c r="N84" i="1"/>
  <c r="M84" i="1"/>
  <c r="K84" i="1"/>
  <c r="S79" i="1"/>
  <c r="R79" i="1"/>
  <c r="Q79" i="1"/>
  <c r="P79" i="1"/>
  <c r="O79" i="1"/>
  <c r="N79" i="1"/>
  <c r="M79" i="1"/>
  <c r="K79" i="1"/>
  <c r="S78" i="1"/>
  <c r="R78" i="1"/>
  <c r="Q78" i="1"/>
  <c r="P78" i="1"/>
  <c r="O78" i="1"/>
  <c r="N78" i="1"/>
  <c r="M78" i="1"/>
  <c r="K78" i="1"/>
  <c r="S77" i="1"/>
  <c r="R77" i="1"/>
  <c r="Q77" i="1"/>
  <c r="P77" i="1"/>
  <c r="O77" i="1"/>
  <c r="N77" i="1"/>
  <c r="M77" i="1"/>
  <c r="K77" i="1"/>
  <c r="S76" i="1"/>
  <c r="R76" i="1"/>
  <c r="Q76" i="1"/>
  <c r="P76" i="1"/>
  <c r="O76" i="1"/>
  <c r="N76" i="1"/>
  <c r="M76" i="1"/>
  <c r="K76" i="1"/>
  <c r="S75" i="1"/>
  <c r="R75" i="1"/>
  <c r="Q75" i="1"/>
  <c r="P75" i="1"/>
  <c r="O75" i="1"/>
  <c r="N75" i="1"/>
  <c r="M75" i="1"/>
  <c r="K75" i="1"/>
  <c r="S74" i="1"/>
  <c r="R74" i="1"/>
  <c r="Q74" i="1"/>
  <c r="P74" i="1"/>
  <c r="O74" i="1"/>
  <c r="N74" i="1"/>
  <c r="M74" i="1"/>
  <c r="K74" i="1"/>
  <c r="S73" i="1"/>
  <c r="R73" i="1"/>
  <c r="Q73" i="1"/>
  <c r="P73" i="1"/>
  <c r="O73" i="1"/>
  <c r="N73" i="1"/>
  <c r="M73" i="1"/>
  <c r="K73" i="1"/>
  <c r="S72" i="1"/>
  <c r="R72" i="1"/>
  <c r="Q72" i="1"/>
  <c r="P72" i="1"/>
  <c r="O72" i="1"/>
  <c r="N72" i="1"/>
  <c r="M72" i="1"/>
  <c r="K72" i="1"/>
  <c r="S71" i="1"/>
  <c r="R71" i="1"/>
  <c r="Q71" i="1"/>
  <c r="P71" i="1"/>
  <c r="O71" i="1"/>
  <c r="N71" i="1"/>
  <c r="M71" i="1"/>
  <c r="K71" i="1"/>
  <c r="S70" i="1"/>
  <c r="R70" i="1"/>
  <c r="Q70" i="1"/>
  <c r="P70" i="1"/>
  <c r="O70" i="1"/>
  <c r="N70" i="1"/>
  <c r="M70" i="1"/>
  <c r="K70" i="1"/>
  <c r="S69" i="1"/>
  <c r="R69" i="1"/>
  <c r="Q69" i="1"/>
  <c r="P69" i="1"/>
  <c r="O69" i="1"/>
  <c r="N69" i="1"/>
  <c r="M69" i="1"/>
  <c r="K69" i="1"/>
  <c r="S68" i="1"/>
  <c r="R68" i="1"/>
  <c r="Q68" i="1"/>
  <c r="P68" i="1"/>
  <c r="O68" i="1"/>
  <c r="N68" i="1"/>
  <c r="M68" i="1"/>
  <c r="K68" i="1"/>
  <c r="S64" i="1"/>
  <c r="R64" i="1"/>
  <c r="Q64" i="1"/>
  <c r="P64" i="1"/>
  <c r="O64" i="1"/>
  <c r="N64" i="1"/>
  <c r="M64" i="1"/>
  <c r="K64" i="1"/>
  <c r="E64" i="1"/>
  <c r="D64" i="1"/>
  <c r="R63" i="1"/>
  <c r="Q63" i="1"/>
  <c r="N63" i="1"/>
  <c r="M63" i="1"/>
  <c r="K63" i="1"/>
  <c r="H63" i="1"/>
  <c r="S63" i="1" s="1"/>
  <c r="D63" i="1"/>
  <c r="E63" i="1" s="1"/>
  <c r="P63" i="1" s="1"/>
  <c r="R62" i="1"/>
  <c r="Q62" i="1"/>
  <c r="N62" i="1"/>
  <c r="M62" i="1"/>
  <c r="K62" i="1"/>
  <c r="H62" i="1"/>
  <c r="S62" i="1" s="1"/>
  <c r="E62" i="1"/>
  <c r="P62" i="1" s="1"/>
  <c r="D62" i="1"/>
  <c r="O62" i="1" s="1"/>
  <c r="R61" i="1"/>
  <c r="Q61" i="1"/>
  <c r="O61" i="1"/>
  <c r="N61" i="1"/>
  <c r="M61" i="1"/>
  <c r="K61" i="1"/>
  <c r="H61" i="1"/>
  <c r="S61" i="1" s="1"/>
  <c r="D61" i="1"/>
  <c r="E61" i="1" s="1"/>
  <c r="P61" i="1" s="1"/>
  <c r="R60" i="1"/>
  <c r="Q60" i="1"/>
  <c r="O60" i="1"/>
  <c r="N60" i="1"/>
  <c r="M60" i="1"/>
  <c r="K60" i="1"/>
  <c r="H60" i="1"/>
  <c r="S60" i="1" s="1"/>
  <c r="E60" i="1"/>
  <c r="P60" i="1" s="1"/>
  <c r="D60" i="1"/>
  <c r="R59" i="1"/>
  <c r="Q59" i="1"/>
  <c r="O59" i="1"/>
  <c r="N59" i="1"/>
  <c r="M59" i="1"/>
  <c r="K59" i="1"/>
  <c r="H59" i="1"/>
  <c r="S59" i="1" s="1"/>
  <c r="E59" i="1"/>
  <c r="P59" i="1" s="1"/>
  <c r="D59" i="1"/>
  <c r="R58" i="1"/>
  <c r="Q58" i="1"/>
  <c r="N58" i="1"/>
  <c r="M58" i="1"/>
  <c r="K58" i="1"/>
  <c r="H58" i="1"/>
  <c r="S58" i="1" s="1"/>
  <c r="D58" i="1"/>
  <c r="E58" i="1" s="1"/>
  <c r="P58" i="1" s="1"/>
  <c r="R57" i="1"/>
  <c r="Q57" i="1"/>
  <c r="N57" i="1"/>
  <c r="M57" i="1"/>
  <c r="K57" i="1"/>
  <c r="H57" i="1"/>
  <c r="S57" i="1" s="1"/>
  <c r="D57" i="1"/>
  <c r="O57" i="1" s="1"/>
  <c r="R56" i="1"/>
  <c r="Q56" i="1"/>
  <c r="O56" i="1"/>
  <c r="N56" i="1"/>
  <c r="M56" i="1"/>
  <c r="K56" i="1"/>
  <c r="H56" i="1"/>
  <c r="S56" i="1" s="1"/>
  <c r="D56" i="1"/>
  <c r="E56" i="1" s="1"/>
  <c r="P56" i="1" s="1"/>
  <c r="R55" i="1"/>
  <c r="Q55" i="1"/>
  <c r="N55" i="1"/>
  <c r="M55" i="1"/>
  <c r="K55" i="1"/>
  <c r="H55" i="1"/>
  <c r="S55" i="1" s="1"/>
  <c r="D55" i="1"/>
  <c r="E55" i="1" s="1"/>
  <c r="P55" i="1" s="1"/>
  <c r="R54" i="1"/>
  <c r="Q54" i="1"/>
  <c r="N54" i="1"/>
  <c r="M54" i="1"/>
  <c r="K54" i="1"/>
  <c r="H54" i="1"/>
  <c r="S54" i="1" s="1"/>
  <c r="E54" i="1"/>
  <c r="P54" i="1" s="1"/>
  <c r="D54" i="1"/>
  <c r="O54" i="1" s="1"/>
  <c r="R53" i="1"/>
  <c r="Q53" i="1"/>
  <c r="O53" i="1"/>
  <c r="N53" i="1"/>
  <c r="M53" i="1"/>
  <c r="K53" i="1"/>
  <c r="H53" i="1"/>
  <c r="S53" i="1" s="1"/>
  <c r="D53" i="1"/>
  <c r="E53" i="1" s="1"/>
  <c r="P53" i="1" s="1"/>
  <c r="R52" i="1"/>
  <c r="Q52" i="1"/>
  <c r="O52" i="1"/>
  <c r="N52" i="1"/>
  <c r="M52" i="1"/>
  <c r="K52" i="1"/>
  <c r="H52" i="1"/>
  <c r="S52" i="1" s="1"/>
  <c r="E52" i="1"/>
  <c r="P52" i="1" s="1"/>
  <c r="D52" i="1"/>
  <c r="AB47" i="1"/>
  <c r="AA47" i="1"/>
  <c r="S47" i="1"/>
  <c r="R47" i="1"/>
  <c r="Q47" i="1"/>
  <c r="P47" i="1"/>
  <c r="O47" i="1"/>
  <c r="N47" i="1"/>
  <c r="M47" i="1"/>
  <c r="K47" i="1"/>
  <c r="AA46" i="1"/>
  <c r="AB46" i="1" s="1"/>
  <c r="S46" i="1"/>
  <c r="R46" i="1"/>
  <c r="Q46" i="1"/>
  <c r="P46" i="1"/>
  <c r="O46" i="1"/>
  <c r="N46" i="1"/>
  <c r="M46" i="1"/>
  <c r="K46" i="1"/>
  <c r="AA45" i="1"/>
  <c r="AB45" i="1" s="1"/>
  <c r="S45" i="1"/>
  <c r="R45" i="1"/>
  <c r="Q45" i="1"/>
  <c r="P45" i="1"/>
  <c r="O45" i="1"/>
  <c r="N45" i="1"/>
  <c r="M45" i="1"/>
  <c r="K45" i="1"/>
  <c r="AB44" i="1"/>
  <c r="AA44" i="1"/>
  <c r="S44" i="1"/>
  <c r="R44" i="1"/>
  <c r="Q44" i="1"/>
  <c r="P44" i="1"/>
  <c r="O44" i="1"/>
  <c r="N44" i="1"/>
  <c r="M44" i="1"/>
  <c r="K44" i="1"/>
  <c r="AB43" i="1"/>
  <c r="AA43" i="1"/>
  <c r="S43" i="1"/>
  <c r="R43" i="1"/>
  <c r="Q43" i="1"/>
  <c r="P43" i="1"/>
  <c r="O43" i="1"/>
  <c r="N43" i="1"/>
  <c r="M43" i="1"/>
  <c r="K43" i="1"/>
  <c r="AA42" i="1"/>
  <c r="AB42" i="1" s="1"/>
  <c r="S42" i="1"/>
  <c r="R42" i="1"/>
  <c r="Q42" i="1"/>
  <c r="P42" i="1"/>
  <c r="O42" i="1"/>
  <c r="N42" i="1"/>
  <c r="M42" i="1"/>
  <c r="K42" i="1"/>
  <c r="S41" i="1"/>
  <c r="R41" i="1"/>
  <c r="Q41" i="1"/>
  <c r="P41" i="1"/>
  <c r="O41" i="1"/>
  <c r="N41" i="1"/>
  <c r="M41" i="1"/>
  <c r="K41" i="1"/>
  <c r="S40" i="1"/>
  <c r="R40" i="1"/>
  <c r="Q40" i="1"/>
  <c r="P40" i="1"/>
  <c r="O40" i="1"/>
  <c r="N40" i="1"/>
  <c r="M40" i="1"/>
  <c r="K40" i="1"/>
  <c r="S39" i="1"/>
  <c r="R39" i="1"/>
  <c r="Q39" i="1"/>
  <c r="P39" i="1"/>
  <c r="O39" i="1"/>
  <c r="N39" i="1"/>
  <c r="M39" i="1"/>
  <c r="K39" i="1"/>
  <c r="S38" i="1"/>
  <c r="R38" i="1"/>
  <c r="Q38" i="1"/>
  <c r="P38" i="1"/>
  <c r="O38" i="1"/>
  <c r="N38" i="1"/>
  <c r="M38" i="1"/>
  <c r="K38" i="1"/>
  <c r="S37" i="1"/>
  <c r="R37" i="1"/>
  <c r="Q37" i="1"/>
  <c r="P37" i="1"/>
  <c r="O37" i="1"/>
  <c r="N37" i="1"/>
  <c r="M37" i="1"/>
  <c r="K37" i="1"/>
  <c r="S36" i="1"/>
  <c r="R36" i="1"/>
  <c r="Q36" i="1"/>
  <c r="P36" i="1"/>
  <c r="O36" i="1"/>
  <c r="N36" i="1"/>
  <c r="M36" i="1"/>
  <c r="K36" i="1"/>
  <c r="AA32" i="1"/>
  <c r="AB32" i="1" s="1"/>
  <c r="S32" i="1"/>
  <c r="R32" i="1"/>
  <c r="Q32" i="1"/>
  <c r="P32" i="1"/>
  <c r="O32" i="1"/>
  <c r="N32" i="1"/>
  <c r="M32" i="1"/>
  <c r="K32" i="1"/>
  <c r="AB31" i="1"/>
  <c r="AA31" i="1"/>
  <c r="S31" i="1"/>
  <c r="R31" i="1"/>
  <c r="Q31" i="1"/>
  <c r="P31" i="1"/>
  <c r="O31" i="1"/>
  <c r="N31" i="1"/>
  <c r="M31" i="1"/>
  <c r="K31" i="1"/>
  <c r="AB30" i="1"/>
  <c r="AA30" i="1"/>
  <c r="S30" i="1"/>
  <c r="R30" i="1"/>
  <c r="Q30" i="1"/>
  <c r="P30" i="1"/>
  <c r="O30" i="1"/>
  <c r="N30" i="1"/>
  <c r="M30" i="1"/>
  <c r="K30" i="1"/>
  <c r="AA29" i="1"/>
  <c r="S29" i="1"/>
  <c r="R29" i="1"/>
  <c r="Q29" i="1"/>
  <c r="P29" i="1"/>
  <c r="O29" i="1"/>
  <c r="N29" i="1"/>
  <c r="M29" i="1"/>
  <c r="K29" i="1"/>
  <c r="AB29" i="1" s="1"/>
  <c r="AA28" i="1"/>
  <c r="AB28" i="1" s="1"/>
  <c r="S28" i="1"/>
  <c r="R28" i="1"/>
  <c r="Q28" i="1"/>
  <c r="P28" i="1"/>
  <c r="O28" i="1"/>
  <c r="N28" i="1"/>
  <c r="M28" i="1"/>
  <c r="K28" i="1"/>
  <c r="AB27" i="1"/>
  <c r="AA27" i="1"/>
  <c r="S27" i="1"/>
  <c r="R27" i="1"/>
  <c r="Q27" i="1"/>
  <c r="P27" i="1"/>
  <c r="O27" i="1"/>
  <c r="N27" i="1"/>
  <c r="M27" i="1"/>
  <c r="K27" i="1"/>
  <c r="AB26" i="1"/>
  <c r="AA26" i="1"/>
  <c r="S26" i="1"/>
  <c r="R26" i="1"/>
  <c r="Q26" i="1"/>
  <c r="P26" i="1"/>
  <c r="O26" i="1"/>
  <c r="N26" i="1"/>
  <c r="M26" i="1"/>
  <c r="K26" i="1"/>
  <c r="S25" i="1"/>
  <c r="R25" i="1"/>
  <c r="Q25" i="1"/>
  <c r="P25" i="1"/>
  <c r="O25" i="1"/>
  <c r="N25" i="1"/>
  <c r="M25" i="1"/>
  <c r="K25" i="1"/>
  <c r="S24" i="1"/>
  <c r="R24" i="1"/>
  <c r="Q24" i="1"/>
  <c r="P24" i="1"/>
  <c r="O24" i="1"/>
  <c r="N24" i="1"/>
  <c r="M24" i="1"/>
  <c r="K24" i="1"/>
  <c r="S23" i="1"/>
  <c r="R23" i="1"/>
  <c r="Q23" i="1"/>
  <c r="P23" i="1"/>
  <c r="O23" i="1"/>
  <c r="N23" i="1"/>
  <c r="M23" i="1"/>
  <c r="K23" i="1"/>
  <c r="S22" i="1"/>
  <c r="R22" i="1"/>
  <c r="Q22" i="1"/>
  <c r="P22" i="1"/>
  <c r="O22" i="1"/>
  <c r="N22" i="1"/>
  <c r="M22" i="1"/>
  <c r="K22" i="1"/>
  <c r="S21" i="1"/>
  <c r="R21" i="1"/>
  <c r="Q21" i="1"/>
  <c r="P21" i="1"/>
  <c r="O21" i="1"/>
  <c r="N21" i="1"/>
  <c r="M21" i="1"/>
  <c r="K21" i="1"/>
  <c r="S20" i="1"/>
  <c r="R20" i="1"/>
  <c r="Q20" i="1"/>
  <c r="P20" i="1"/>
  <c r="O20" i="1"/>
  <c r="N20" i="1"/>
  <c r="M20" i="1"/>
  <c r="K20" i="1"/>
  <c r="S15" i="1"/>
  <c r="R15" i="1"/>
  <c r="Q15" i="1"/>
  <c r="P15" i="1"/>
  <c r="O15" i="1"/>
  <c r="N15" i="1"/>
  <c r="M15" i="1"/>
  <c r="K15" i="1"/>
  <c r="AA14" i="1"/>
  <c r="AB14" i="1" s="1"/>
  <c r="S14" i="1"/>
  <c r="R14" i="1"/>
  <c r="Q14" i="1"/>
  <c r="P14" i="1"/>
  <c r="O14" i="1"/>
  <c r="N14" i="1"/>
  <c r="M14" i="1"/>
  <c r="K14" i="1"/>
  <c r="AA13" i="1"/>
  <c r="AB13" i="1" s="1"/>
  <c r="S13" i="1"/>
  <c r="R13" i="1"/>
  <c r="Q13" i="1"/>
  <c r="P13" i="1"/>
  <c r="O13" i="1"/>
  <c r="N13" i="1"/>
  <c r="M13" i="1"/>
  <c r="K13" i="1"/>
  <c r="AB12" i="1"/>
  <c r="AA12" i="1"/>
  <c r="S12" i="1"/>
  <c r="R12" i="1"/>
  <c r="Q12" i="1"/>
  <c r="P12" i="1"/>
  <c r="O12" i="1"/>
  <c r="N12" i="1"/>
  <c r="M12" i="1"/>
  <c r="K12" i="1"/>
  <c r="AB11" i="1"/>
  <c r="AA11" i="1"/>
  <c r="S11" i="1"/>
  <c r="R11" i="1"/>
  <c r="Q11" i="1"/>
  <c r="P11" i="1"/>
  <c r="O11" i="1"/>
  <c r="N11" i="1"/>
  <c r="M11" i="1"/>
  <c r="K11" i="1"/>
  <c r="AA10" i="1"/>
  <c r="AB10" i="1" s="1"/>
  <c r="S10" i="1"/>
  <c r="R10" i="1"/>
  <c r="Q10" i="1"/>
  <c r="P10" i="1"/>
  <c r="O10" i="1"/>
  <c r="N10" i="1"/>
  <c r="M10" i="1"/>
  <c r="K10" i="1"/>
  <c r="AA9" i="1"/>
  <c r="AB9" i="1" s="1"/>
  <c r="S9" i="1"/>
  <c r="R9" i="1"/>
  <c r="Q9" i="1"/>
  <c r="P9" i="1"/>
  <c r="O9" i="1"/>
  <c r="N9" i="1"/>
  <c r="M9" i="1"/>
  <c r="K9" i="1"/>
  <c r="S8" i="1"/>
  <c r="R8" i="1"/>
  <c r="Q8" i="1"/>
  <c r="P8" i="1"/>
  <c r="O8" i="1"/>
  <c r="N8" i="1"/>
  <c r="M8" i="1"/>
  <c r="K8" i="1"/>
  <c r="S7" i="1"/>
  <c r="R7" i="1"/>
  <c r="Q7" i="1"/>
  <c r="P7" i="1"/>
  <c r="O7" i="1"/>
  <c r="N7" i="1"/>
  <c r="M7" i="1"/>
  <c r="K7" i="1"/>
  <c r="S6" i="1"/>
  <c r="R6" i="1"/>
  <c r="Q6" i="1"/>
  <c r="P6" i="1"/>
  <c r="O6" i="1"/>
  <c r="N6" i="1"/>
  <c r="M6" i="1"/>
  <c r="K6" i="1"/>
  <c r="S5" i="1"/>
  <c r="R5" i="1"/>
  <c r="Q5" i="1"/>
  <c r="P5" i="1"/>
  <c r="O5" i="1"/>
  <c r="N5" i="1"/>
  <c r="M5" i="1"/>
  <c r="K5" i="1"/>
  <c r="S4" i="1"/>
  <c r="R4" i="1"/>
  <c r="Q4" i="1"/>
  <c r="P4" i="1"/>
  <c r="O4" i="1"/>
  <c r="N4" i="1"/>
  <c r="M4" i="1"/>
  <c r="K4" i="1"/>
  <c r="S3" i="1"/>
  <c r="R3" i="1"/>
  <c r="Q3" i="1"/>
  <c r="P3" i="1"/>
  <c r="O3" i="1"/>
  <c r="N3" i="1"/>
  <c r="M3" i="1"/>
  <c r="K3" i="1"/>
  <c r="O55" i="1" l="1"/>
  <c r="O63" i="1"/>
  <c r="E57" i="1"/>
  <c r="P57" i="1" s="1"/>
  <c r="O58" i="1"/>
</calcChain>
</file>

<file path=xl/sharedStrings.xml><?xml version="1.0" encoding="utf-8"?>
<sst xmlns="http://schemas.openxmlformats.org/spreadsheetml/2006/main" count="137" uniqueCount="33">
  <si>
    <t>F1</t>
  </si>
  <si>
    <t>Nitrogen species</t>
  </si>
  <si>
    <t>Added Urea</t>
  </si>
  <si>
    <t>DOY</t>
  </si>
  <si>
    <t>NH4_ugL</t>
  </si>
  <si>
    <t>NO3+NO2_ugL</t>
  </si>
  <si>
    <t>DIN_ugL</t>
  </si>
  <si>
    <t>DON_ugL</t>
  </si>
  <si>
    <t>TDN_ugL</t>
  </si>
  <si>
    <t>PON_ugL</t>
  </si>
  <si>
    <t>TN_ugL</t>
  </si>
  <si>
    <t>Pond Volume_L</t>
  </si>
  <si>
    <t>Pond Volume m3</t>
  </si>
  <si>
    <t>NH4_g</t>
  </si>
  <si>
    <t>NO3+NO2_g</t>
  </si>
  <si>
    <t>DIN_g</t>
  </si>
  <si>
    <t>DON_g</t>
  </si>
  <si>
    <t>TDN_g</t>
  </si>
  <si>
    <t>PON_g</t>
  </si>
  <si>
    <t>TN_g</t>
  </si>
  <si>
    <t>Sum_Added_urea_g</t>
  </si>
  <si>
    <t>Mass urea_kg</t>
  </si>
  <si>
    <t>Added urea_mgL</t>
  </si>
  <si>
    <t>Urea ug_L</t>
  </si>
  <si>
    <t>Cumulative urea_ugL</t>
  </si>
  <si>
    <t>Cumulative urea_ug</t>
  </si>
  <si>
    <t>Cumulative urea_g</t>
  </si>
  <si>
    <t>Cumulative urea_g_m3</t>
  </si>
  <si>
    <t>F2</t>
  </si>
  <si>
    <t>Added_urea_g</t>
  </si>
  <si>
    <t>F3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</si>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</sst>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0" fontId="0" fillId="2" borderId="0" xfId="0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2FEBD6-C740-4334-AA1D-8C940FCF4C16}">
  <dimension ref="A1:AB96"/>
  <sheetViews>
    <sheetView tabSelected="1" workbookViewId="0">
      <selection activeCell="F13" sqref="F13"/>
    </sheetView>
  </sheetViews>
  <sheetFormatPr defaultRowHeight="14.4" x14ac:dyDescent="0.3"/>
  <cols>
    <col min="10" max="11" width="17.33203125" customWidth="1"/>
    <col min="12" max="12" width="6.109375" customWidth="1"/>
    <col min="13" max="13" width="10.33203125" customWidth="1"/>
    <col min="14" max="14" width="12" customWidth="1"/>
    <col min="20" max="20" width="14.44140625" customWidth="1"/>
    <col min="23" max="24" width="13.33203125" customWidth="1"/>
    <col min="25" max="25" width="19.5546875" customWidth="1"/>
    <col min="26" max="26" width="18" customWidth="1"/>
    <col min="28" max="28" width="22.33203125" customWidth="1"/>
  </cols>
  <sheetData>
    <row r="1" spans="1:28" x14ac:dyDescent="0.3">
      <c r="A1" t="s">
        <v>0</v>
      </c>
      <c r="B1" t="s">
        <v>1</v>
      </c>
      <c r="V1" t="s">
        <v>2</v>
      </c>
    </row>
    <row r="2" spans="1:28" x14ac:dyDescent="0.3">
      <c r="A2" t="s">
        <v>3</v>
      </c>
      <c r="B2" t="s">
        <v>4</v>
      </c>
      <c r="C2" t="s">
        <v>5</v>
      </c>
      <c r="D2" t="s">
        <v>6</v>
      </c>
      <c r="E2" t="s">
        <v>7</v>
      </c>
      <c r="F2" t="s">
        <v>8</v>
      </c>
      <c r="G2" t="s">
        <v>9</v>
      </c>
      <c r="H2" t="s">
        <v>10</v>
      </c>
      <c r="J2" t="s">
        <v>11</v>
      </c>
      <c r="K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V2" t="s">
        <v>21</v>
      </c>
      <c r="W2" t="s">
        <v>22</v>
      </c>
      <c r="X2" t="s">
        <v>23</v>
      </c>
      <c r="Y2" t="s">
        <v>24</v>
      </c>
      <c r="Z2" t="s">
        <v>25</v>
      </c>
      <c r="AA2" t="s">
        <v>26</v>
      </c>
      <c r="AB2" t="s">
        <v>27</v>
      </c>
    </row>
    <row r="3" spans="1:28" x14ac:dyDescent="0.3">
      <c r="A3">
        <v>152</v>
      </c>
      <c r="B3">
        <v>88</v>
      </c>
      <c r="C3">
        <v>129</v>
      </c>
      <c r="D3">
        <v>217</v>
      </c>
      <c r="E3">
        <v>1683</v>
      </c>
      <c r="F3">
        <v>1900</v>
      </c>
      <c r="G3">
        <v>1120</v>
      </c>
      <c r="H3">
        <v>3020</v>
      </c>
      <c r="J3">
        <v>531567</v>
      </c>
      <c r="K3">
        <f>J3/1000</f>
        <v>531.56700000000001</v>
      </c>
      <c r="M3">
        <f t="shared" ref="M3:S15" si="0">(B3*$J3)/1000000</f>
        <v>46.777895999999998</v>
      </c>
      <c r="N3">
        <f t="shared" si="0"/>
        <v>68.572142999999997</v>
      </c>
      <c r="O3">
        <f t="shared" si="0"/>
        <v>115.350039</v>
      </c>
      <c r="P3">
        <f t="shared" si="0"/>
        <v>894.62726099999998</v>
      </c>
      <c r="Q3">
        <f t="shared" si="0"/>
        <v>1009.9773</v>
      </c>
      <c r="R3">
        <f t="shared" si="0"/>
        <v>595.35504000000003</v>
      </c>
      <c r="S3">
        <f t="shared" si="0"/>
        <v>1605.3323399999999</v>
      </c>
      <c r="V3">
        <v>0</v>
      </c>
      <c r="W3">
        <v>0</v>
      </c>
      <c r="X3">
        <v>0</v>
      </c>
    </row>
    <row r="4" spans="1:28" x14ac:dyDescent="0.3">
      <c r="A4">
        <v>165</v>
      </c>
      <c r="B4">
        <v>1054</v>
      </c>
      <c r="C4">
        <v>1260</v>
      </c>
      <c r="D4">
        <v>2314</v>
      </c>
      <c r="E4">
        <v>2126</v>
      </c>
      <c r="F4">
        <v>4440</v>
      </c>
      <c r="G4">
        <v>8</v>
      </c>
      <c r="H4">
        <v>4448</v>
      </c>
      <c r="J4">
        <v>509758</v>
      </c>
      <c r="K4">
        <f t="shared" ref="K4:K15" si="1">J4/1000</f>
        <v>509.75799999999998</v>
      </c>
      <c r="M4">
        <f t="shared" si="0"/>
        <v>537.28493200000003</v>
      </c>
      <c r="N4">
        <f t="shared" si="0"/>
        <v>642.29507999999998</v>
      </c>
      <c r="O4">
        <f t="shared" si="0"/>
        <v>1179.5800119999999</v>
      </c>
      <c r="P4">
        <f t="shared" si="0"/>
        <v>1083.745508</v>
      </c>
      <c r="Q4">
        <f t="shared" si="0"/>
        <v>2263.3255199999999</v>
      </c>
      <c r="R4">
        <f t="shared" si="0"/>
        <v>4.0780640000000004</v>
      </c>
      <c r="S4">
        <f t="shared" si="0"/>
        <v>2267.4035840000001</v>
      </c>
      <c r="V4">
        <v>0</v>
      </c>
      <c r="W4">
        <v>0</v>
      </c>
      <c r="X4">
        <v>0</v>
      </c>
    </row>
    <row r="5" spans="1:28" x14ac:dyDescent="0.3">
      <c r="A5">
        <v>172</v>
      </c>
      <c r="B5">
        <v>1360</v>
      </c>
      <c r="C5">
        <v>438</v>
      </c>
      <c r="D5">
        <v>1798</v>
      </c>
      <c r="E5">
        <v>2152</v>
      </c>
      <c r="F5">
        <v>3950</v>
      </c>
      <c r="G5">
        <v>399.13830000000002</v>
      </c>
      <c r="H5">
        <v>4349.1382999999996</v>
      </c>
      <c r="J5">
        <v>487950</v>
      </c>
      <c r="K5">
        <f t="shared" si="1"/>
        <v>487.95</v>
      </c>
      <c r="M5">
        <f t="shared" si="0"/>
        <v>663.61199999999997</v>
      </c>
      <c r="N5">
        <f t="shared" si="0"/>
        <v>213.72210000000001</v>
      </c>
      <c r="O5">
        <f t="shared" si="0"/>
        <v>877.33410000000003</v>
      </c>
      <c r="P5">
        <f t="shared" si="0"/>
        <v>1050.0684000000001</v>
      </c>
      <c r="Q5">
        <f t="shared" si="0"/>
        <v>1927.4024999999999</v>
      </c>
      <c r="R5">
        <f t="shared" si="0"/>
        <v>194.75953348500002</v>
      </c>
      <c r="S5">
        <f t="shared" si="0"/>
        <v>2122.1620334849999</v>
      </c>
      <c r="V5">
        <v>0</v>
      </c>
      <c r="W5">
        <v>0</v>
      </c>
      <c r="X5">
        <v>0</v>
      </c>
    </row>
    <row r="6" spans="1:28" x14ac:dyDescent="0.3">
      <c r="A6">
        <v>179</v>
      </c>
      <c r="B6">
        <v>324</v>
      </c>
      <c r="C6">
        <v>177</v>
      </c>
      <c r="D6">
        <v>501</v>
      </c>
      <c r="E6">
        <v>2429</v>
      </c>
      <c r="F6">
        <v>2930</v>
      </c>
      <c r="G6">
        <v>97.5762</v>
      </c>
      <c r="H6">
        <v>3027.5762</v>
      </c>
      <c r="J6">
        <v>510015</v>
      </c>
      <c r="K6">
        <f t="shared" si="1"/>
        <v>510.01499999999999</v>
      </c>
      <c r="M6">
        <f t="shared" si="0"/>
        <v>165.24485999999999</v>
      </c>
      <c r="N6">
        <f t="shared" si="0"/>
        <v>90.272655</v>
      </c>
      <c r="O6">
        <f t="shared" si="0"/>
        <v>255.517515</v>
      </c>
      <c r="P6">
        <f t="shared" si="0"/>
        <v>1238.8264349999999</v>
      </c>
      <c r="Q6">
        <f t="shared" si="0"/>
        <v>1494.3439499999999</v>
      </c>
      <c r="R6">
        <f t="shared" si="0"/>
        <v>49.765325642999997</v>
      </c>
      <c r="S6">
        <f t="shared" si="0"/>
        <v>1544.1092756429998</v>
      </c>
      <c r="V6">
        <v>0</v>
      </c>
      <c r="W6">
        <v>0</v>
      </c>
      <c r="X6">
        <v>0</v>
      </c>
    </row>
    <row r="7" spans="1:28" x14ac:dyDescent="0.3">
      <c r="A7">
        <v>186</v>
      </c>
      <c r="B7">
        <v>1250</v>
      </c>
      <c r="C7">
        <v>45</v>
      </c>
      <c r="D7">
        <v>1295</v>
      </c>
      <c r="E7">
        <v>2405</v>
      </c>
      <c r="F7">
        <v>3700</v>
      </c>
      <c r="G7">
        <v>232.66079999999999</v>
      </c>
      <c r="H7">
        <v>3932.6608000000001</v>
      </c>
      <c r="J7">
        <v>532080</v>
      </c>
      <c r="K7">
        <f t="shared" si="1"/>
        <v>532.08000000000004</v>
      </c>
      <c r="M7">
        <f t="shared" si="0"/>
        <v>665.1</v>
      </c>
      <c r="N7">
        <f t="shared" si="0"/>
        <v>23.9436</v>
      </c>
      <c r="O7">
        <f t="shared" si="0"/>
        <v>689.04359999999997</v>
      </c>
      <c r="P7">
        <f t="shared" si="0"/>
        <v>1279.6523999999999</v>
      </c>
      <c r="Q7">
        <f t="shared" si="0"/>
        <v>1968.6959999999999</v>
      </c>
      <c r="R7">
        <f t="shared" si="0"/>
        <v>123.79415846400001</v>
      </c>
      <c r="S7">
        <f t="shared" si="0"/>
        <v>2092.4901584640002</v>
      </c>
      <c r="V7">
        <v>0</v>
      </c>
      <c r="W7">
        <v>0</v>
      </c>
      <c r="X7">
        <v>0</v>
      </c>
    </row>
    <row r="8" spans="1:28" x14ac:dyDescent="0.3">
      <c r="A8">
        <v>193</v>
      </c>
      <c r="B8">
        <v>1975</v>
      </c>
      <c r="C8">
        <v>107</v>
      </c>
      <c r="D8">
        <v>2082</v>
      </c>
      <c r="E8">
        <v>2438</v>
      </c>
      <c r="F8">
        <v>4520</v>
      </c>
      <c r="G8">
        <v>458.32274999999998</v>
      </c>
      <c r="H8">
        <v>4978.3227500000003</v>
      </c>
      <c r="J8">
        <v>518337</v>
      </c>
      <c r="K8">
        <f t="shared" si="1"/>
        <v>518.33699999999999</v>
      </c>
      <c r="M8">
        <f t="shared" si="0"/>
        <v>1023.7155749999999</v>
      </c>
      <c r="N8">
        <f t="shared" si="0"/>
        <v>55.462059000000004</v>
      </c>
      <c r="O8">
        <f t="shared" si="0"/>
        <v>1079.1776339999999</v>
      </c>
      <c r="P8">
        <f t="shared" si="0"/>
        <v>1263.705606</v>
      </c>
      <c r="Q8">
        <f t="shared" si="0"/>
        <v>2342.8832400000001</v>
      </c>
      <c r="R8">
        <f t="shared" si="0"/>
        <v>237.56563926674997</v>
      </c>
      <c r="S8">
        <f t="shared" si="0"/>
        <v>2580.4488792667503</v>
      </c>
      <c r="V8">
        <v>0</v>
      </c>
      <c r="W8">
        <v>0</v>
      </c>
      <c r="X8">
        <v>0</v>
      </c>
    </row>
    <row r="9" spans="1:28" x14ac:dyDescent="0.3">
      <c r="A9">
        <v>200</v>
      </c>
      <c r="B9">
        <v>1180</v>
      </c>
      <c r="C9">
        <v>10</v>
      </c>
      <c r="D9">
        <v>1190</v>
      </c>
      <c r="E9">
        <v>2340</v>
      </c>
      <c r="F9">
        <v>3530</v>
      </c>
      <c r="G9">
        <v>535.44599999999991</v>
      </c>
      <c r="H9">
        <v>4065.4459999999999</v>
      </c>
      <c r="J9">
        <v>498806</v>
      </c>
      <c r="K9">
        <f t="shared" si="1"/>
        <v>498.80599999999998</v>
      </c>
      <c r="M9">
        <f t="shared" si="0"/>
        <v>588.59108000000003</v>
      </c>
      <c r="N9">
        <f t="shared" si="0"/>
        <v>4.9880599999999999</v>
      </c>
      <c r="O9">
        <f t="shared" si="0"/>
        <v>593.57914000000005</v>
      </c>
      <c r="P9">
        <f t="shared" si="0"/>
        <v>1167.20604</v>
      </c>
      <c r="Q9">
        <f t="shared" si="0"/>
        <v>1760.7851800000001</v>
      </c>
      <c r="R9">
        <f t="shared" si="0"/>
        <v>267.08367747599993</v>
      </c>
      <c r="S9">
        <f t="shared" si="0"/>
        <v>2027.8688574760001</v>
      </c>
      <c r="T9">
        <v>2660</v>
      </c>
      <c r="V9">
        <v>2.66</v>
      </c>
      <c r="W9">
        <v>5.3327345701535265</v>
      </c>
      <c r="X9">
        <v>5332.7345701535269</v>
      </c>
      <c r="Y9">
        <v>5332.7345701535269</v>
      </c>
      <c r="Z9">
        <v>2660000000</v>
      </c>
      <c r="AA9">
        <f>Z9/1000000</f>
        <v>2660</v>
      </c>
      <c r="AB9">
        <f>AA9/K9</f>
        <v>5.3327345701535265</v>
      </c>
    </row>
    <row r="10" spans="1:28" x14ac:dyDescent="0.3">
      <c r="A10">
        <v>207</v>
      </c>
      <c r="B10">
        <v>426</v>
      </c>
      <c r="C10">
        <v>88</v>
      </c>
      <c r="D10">
        <v>514</v>
      </c>
      <c r="E10">
        <v>2206</v>
      </c>
      <c r="F10">
        <v>2720</v>
      </c>
      <c r="G10">
        <v>1216.7127</v>
      </c>
      <c r="H10">
        <v>3936.7127</v>
      </c>
      <c r="J10">
        <v>460057</v>
      </c>
      <c r="K10">
        <f t="shared" si="1"/>
        <v>460.05700000000002</v>
      </c>
      <c r="M10">
        <f t="shared" si="0"/>
        <v>195.98428200000001</v>
      </c>
      <c r="N10">
        <f t="shared" si="0"/>
        <v>40.485016000000002</v>
      </c>
      <c r="O10">
        <f t="shared" si="0"/>
        <v>236.46929800000001</v>
      </c>
      <c r="P10">
        <f t="shared" si="0"/>
        <v>1014.8857420000001</v>
      </c>
      <c r="Q10">
        <f t="shared" si="0"/>
        <v>1251.3550399999999</v>
      </c>
      <c r="R10">
        <f t="shared" si="0"/>
        <v>559.75719462390009</v>
      </c>
      <c r="S10">
        <f t="shared" si="0"/>
        <v>1811.1122346238999</v>
      </c>
      <c r="T10">
        <v>5320</v>
      </c>
      <c r="V10">
        <v>2.66</v>
      </c>
      <c r="W10">
        <v>5.7818922437871825</v>
      </c>
      <c r="X10">
        <v>5781.8922437871825</v>
      </c>
      <c r="Y10">
        <v>11563.784487574365</v>
      </c>
      <c r="Z10">
        <v>5320000000</v>
      </c>
      <c r="AA10">
        <f t="shared" ref="AA10:AA14" si="2">Z10/1000000</f>
        <v>5320</v>
      </c>
      <c r="AB10">
        <f t="shared" ref="AB10:AB14" si="3">AA10/K10</f>
        <v>11.563784487574365</v>
      </c>
    </row>
    <row r="11" spans="1:28" x14ac:dyDescent="0.3">
      <c r="A11">
        <v>215</v>
      </c>
      <c r="B11">
        <v>3035</v>
      </c>
      <c r="C11">
        <v>28</v>
      </c>
      <c r="D11">
        <v>3063</v>
      </c>
      <c r="E11">
        <v>5217</v>
      </c>
      <c r="F11">
        <v>8280</v>
      </c>
      <c r="G11">
        <v>1513.3824</v>
      </c>
      <c r="H11">
        <v>9793.3824000000004</v>
      </c>
      <c r="J11">
        <v>438080</v>
      </c>
      <c r="K11">
        <f t="shared" si="1"/>
        <v>438.08</v>
      </c>
      <c r="M11">
        <f t="shared" si="0"/>
        <v>1329.5727999999999</v>
      </c>
      <c r="N11">
        <f t="shared" si="0"/>
        <v>12.26624</v>
      </c>
      <c r="O11">
        <f t="shared" si="0"/>
        <v>1341.8390400000001</v>
      </c>
      <c r="P11">
        <f t="shared" si="0"/>
        <v>2285.4633600000002</v>
      </c>
      <c r="Q11">
        <f t="shared" si="0"/>
        <v>3627.3024</v>
      </c>
      <c r="R11">
        <f t="shared" si="0"/>
        <v>662.98256179199996</v>
      </c>
      <c r="S11">
        <f t="shared" si="0"/>
        <v>4290.2849617920001</v>
      </c>
      <c r="T11">
        <v>7980</v>
      </c>
      <c r="V11">
        <v>2.66</v>
      </c>
      <c r="W11">
        <v>6.0719503287070857</v>
      </c>
      <c r="X11">
        <v>6071.9503287070856</v>
      </c>
      <c r="Y11">
        <v>18215.850986121255</v>
      </c>
      <c r="Z11">
        <v>7980000000</v>
      </c>
      <c r="AA11">
        <f t="shared" si="2"/>
        <v>7980</v>
      </c>
      <c r="AB11">
        <f t="shared" si="3"/>
        <v>18.215850986121257</v>
      </c>
    </row>
    <row r="12" spans="1:28" x14ac:dyDescent="0.3">
      <c r="A12">
        <v>221</v>
      </c>
      <c r="B12">
        <v>2380</v>
      </c>
      <c r="C12">
        <v>36</v>
      </c>
      <c r="D12">
        <v>2416</v>
      </c>
      <c r="E12">
        <v>2604</v>
      </c>
      <c r="F12">
        <v>5020</v>
      </c>
      <c r="G12">
        <v>1884.5932500000001</v>
      </c>
      <c r="H12">
        <v>6904.5932499999999</v>
      </c>
      <c r="J12">
        <v>396984</v>
      </c>
      <c r="K12">
        <f t="shared" si="1"/>
        <v>396.98399999999998</v>
      </c>
      <c r="M12">
        <f t="shared" si="0"/>
        <v>944.82191999999998</v>
      </c>
      <c r="N12">
        <f t="shared" si="0"/>
        <v>14.291423999999999</v>
      </c>
      <c r="O12">
        <f t="shared" si="0"/>
        <v>959.11334399999998</v>
      </c>
      <c r="P12">
        <f t="shared" si="0"/>
        <v>1033.7463359999999</v>
      </c>
      <c r="Q12">
        <f t="shared" si="0"/>
        <v>1992.85968</v>
      </c>
      <c r="R12">
        <f t="shared" si="0"/>
        <v>748.15336675800006</v>
      </c>
      <c r="S12">
        <f t="shared" si="0"/>
        <v>2741.0130467579997</v>
      </c>
      <c r="T12">
        <v>10640</v>
      </c>
      <c r="V12">
        <v>2.66</v>
      </c>
      <c r="W12">
        <v>6.7005219353928629</v>
      </c>
      <c r="X12">
        <v>6700.5219353928633</v>
      </c>
      <c r="Y12">
        <v>26802.087741571449</v>
      </c>
      <c r="Z12">
        <v>10640000000</v>
      </c>
      <c r="AA12">
        <f t="shared" si="2"/>
        <v>10640</v>
      </c>
      <c r="AB12">
        <f t="shared" si="3"/>
        <v>26.802087741571452</v>
      </c>
    </row>
    <row r="13" spans="1:28" x14ac:dyDescent="0.3">
      <c r="A13">
        <v>228</v>
      </c>
      <c r="B13">
        <v>905</v>
      </c>
      <c r="C13">
        <v>206</v>
      </c>
      <c r="D13">
        <v>1111</v>
      </c>
      <c r="E13">
        <v>3589</v>
      </c>
      <c r="F13">
        <v>4700</v>
      </c>
      <c r="G13">
        <v>1716.07725</v>
      </c>
      <c r="H13">
        <v>6416.0772500000003</v>
      </c>
      <c r="J13">
        <v>377840</v>
      </c>
      <c r="K13">
        <f t="shared" si="1"/>
        <v>377.84</v>
      </c>
      <c r="M13">
        <f t="shared" si="0"/>
        <v>341.9452</v>
      </c>
      <c r="N13">
        <f t="shared" si="0"/>
        <v>77.835040000000006</v>
      </c>
      <c r="O13">
        <f t="shared" si="0"/>
        <v>419.78023999999999</v>
      </c>
      <c r="P13">
        <f t="shared" si="0"/>
        <v>1356.0677599999999</v>
      </c>
      <c r="Q13">
        <f t="shared" si="0"/>
        <v>1775.848</v>
      </c>
      <c r="R13">
        <f t="shared" si="0"/>
        <v>648.40262813999993</v>
      </c>
      <c r="S13">
        <f t="shared" si="0"/>
        <v>2424.2506281399997</v>
      </c>
      <c r="T13">
        <v>13300</v>
      </c>
      <c r="V13">
        <v>2.66</v>
      </c>
      <c r="W13">
        <v>7.0400169383866187</v>
      </c>
      <c r="X13">
        <v>7040.0169383866187</v>
      </c>
      <c r="Y13">
        <v>35200.084691933094</v>
      </c>
      <c r="Z13">
        <v>13300000000</v>
      </c>
      <c r="AA13">
        <f t="shared" si="2"/>
        <v>13300</v>
      </c>
      <c r="AB13">
        <f t="shared" si="3"/>
        <v>35.200084691933093</v>
      </c>
    </row>
    <row r="14" spans="1:28" x14ac:dyDescent="0.3">
      <c r="A14">
        <v>238</v>
      </c>
      <c r="B14">
        <v>2030</v>
      </c>
      <c r="C14">
        <v>124</v>
      </c>
      <c r="D14">
        <v>2154</v>
      </c>
      <c r="E14">
        <v>2626</v>
      </c>
      <c r="F14">
        <v>4780</v>
      </c>
      <c r="G14">
        <v>2597.93235</v>
      </c>
      <c r="H14">
        <v>7377.93235</v>
      </c>
      <c r="J14">
        <v>399393</v>
      </c>
      <c r="K14">
        <f t="shared" si="1"/>
        <v>399.39299999999997</v>
      </c>
      <c r="M14">
        <f t="shared" si="0"/>
        <v>810.76778999999999</v>
      </c>
      <c r="N14">
        <f t="shared" si="0"/>
        <v>49.524732</v>
      </c>
      <c r="O14">
        <f t="shared" si="0"/>
        <v>860.29252199999996</v>
      </c>
      <c r="P14">
        <f t="shared" si="0"/>
        <v>1048.806018</v>
      </c>
      <c r="Q14">
        <f t="shared" si="0"/>
        <v>1909.09854</v>
      </c>
      <c r="R14">
        <f t="shared" si="0"/>
        <v>1037.5959950635499</v>
      </c>
      <c r="S14">
        <f t="shared" si="0"/>
        <v>2946.6945350635501</v>
      </c>
      <c r="T14">
        <v>15960</v>
      </c>
      <c r="V14">
        <v>2.66</v>
      </c>
      <c r="W14">
        <v>6.660106711935363</v>
      </c>
      <c r="X14">
        <v>6660.1067119353629</v>
      </c>
      <c r="Y14">
        <v>39960.640271612174</v>
      </c>
      <c r="Z14">
        <v>15960000000</v>
      </c>
      <c r="AA14">
        <f t="shared" si="2"/>
        <v>15960</v>
      </c>
      <c r="AB14">
        <f t="shared" si="3"/>
        <v>39.960640271612178</v>
      </c>
    </row>
    <row r="15" spans="1:28" x14ac:dyDescent="0.3">
      <c r="A15">
        <v>245</v>
      </c>
      <c r="B15">
        <v>1495</v>
      </c>
      <c r="C15">
        <v>226</v>
      </c>
      <c r="D15">
        <v>1721</v>
      </c>
      <c r="E15">
        <v>3719</v>
      </c>
      <c r="F15">
        <v>5440</v>
      </c>
      <c r="G15">
        <v>3129</v>
      </c>
      <c r="H15">
        <v>8569</v>
      </c>
      <c r="J15">
        <v>226624</v>
      </c>
      <c r="K15">
        <f t="shared" si="1"/>
        <v>226.624</v>
      </c>
      <c r="M15">
        <f t="shared" si="0"/>
        <v>338.80288000000002</v>
      </c>
      <c r="N15">
        <f>(C15*$J15)/1000000</f>
        <v>51.217024000000002</v>
      </c>
      <c r="O15">
        <f>(D15*$J15)/1000000</f>
        <v>390.019904</v>
      </c>
      <c r="P15">
        <f>(E15*$J15)/1000000</f>
        <v>842.81465600000001</v>
      </c>
      <c r="Q15">
        <f>(F15*$J15)/1000000</f>
        <v>1232.83456</v>
      </c>
      <c r="R15">
        <f t="shared" si="0"/>
        <v>709.10649599999999</v>
      </c>
      <c r="S15">
        <f t="shared" si="0"/>
        <v>1941.9410559999999</v>
      </c>
      <c r="T15">
        <v>15960</v>
      </c>
      <c r="V15">
        <v>0</v>
      </c>
      <c r="W15">
        <v>0</v>
      </c>
      <c r="X15">
        <v>0</v>
      </c>
    </row>
    <row r="18" spans="1:28" x14ac:dyDescent="0.3">
      <c r="A18" t="s">
        <v>28</v>
      </c>
      <c r="B18" t="s">
        <v>1</v>
      </c>
      <c r="V18" t="s">
        <v>2</v>
      </c>
    </row>
    <row r="19" spans="1:28" x14ac:dyDescent="0.3">
      <c r="A19" t="s">
        <v>3</v>
      </c>
      <c r="B19" t="s">
        <v>4</v>
      </c>
      <c r="C19" t="s">
        <v>5</v>
      </c>
      <c r="D19" t="s">
        <v>6</v>
      </c>
      <c r="E19" t="s">
        <v>7</v>
      </c>
      <c r="F19" t="s">
        <v>8</v>
      </c>
      <c r="G19" t="s">
        <v>9</v>
      </c>
      <c r="H19" t="s">
        <v>10</v>
      </c>
      <c r="J19" t="s">
        <v>11</v>
      </c>
      <c r="K19" t="s">
        <v>12</v>
      </c>
      <c r="M19" t="s">
        <v>13</v>
      </c>
      <c r="N19" t="s">
        <v>14</v>
      </c>
      <c r="O19" t="s">
        <v>15</v>
      </c>
      <c r="P19" t="s">
        <v>16</v>
      </c>
      <c r="Q19" t="s">
        <v>17</v>
      </c>
      <c r="R19" t="s">
        <v>18</v>
      </c>
      <c r="S19" t="s">
        <v>19</v>
      </c>
      <c r="T19" t="s">
        <v>29</v>
      </c>
      <c r="V19" t="s">
        <v>21</v>
      </c>
      <c r="W19" t="s">
        <v>22</v>
      </c>
      <c r="X19" t="s">
        <v>23</v>
      </c>
      <c r="Y19" t="s">
        <v>24</v>
      </c>
      <c r="Z19" t="s">
        <v>25</v>
      </c>
    </row>
    <row r="20" spans="1:28" x14ac:dyDescent="0.3">
      <c r="A20">
        <v>152</v>
      </c>
      <c r="B20">
        <v>56</v>
      </c>
      <c r="C20">
        <v>41</v>
      </c>
      <c r="D20">
        <v>97</v>
      </c>
      <c r="E20">
        <v>2613</v>
      </c>
      <c r="F20">
        <v>2710</v>
      </c>
      <c r="G20">
        <v>1141</v>
      </c>
      <c r="H20">
        <v>3851</v>
      </c>
      <c r="J20">
        <v>686532</v>
      </c>
      <c r="K20">
        <f>J20/1000</f>
        <v>686.53200000000004</v>
      </c>
      <c r="M20">
        <f t="shared" ref="M20:S32" si="4">(B20*$J20)/1000000</f>
        <v>38.445791999999997</v>
      </c>
      <c r="N20">
        <f t="shared" si="4"/>
        <v>28.147811999999998</v>
      </c>
      <c r="O20">
        <f t="shared" si="4"/>
        <v>66.593603999999999</v>
      </c>
      <c r="P20">
        <f t="shared" si="4"/>
        <v>1793.9081160000001</v>
      </c>
      <c r="Q20">
        <f t="shared" si="4"/>
        <v>1860.50172</v>
      </c>
      <c r="R20">
        <f t="shared" si="4"/>
        <v>783.33301200000005</v>
      </c>
      <c r="S20">
        <f t="shared" si="4"/>
        <v>2643.8347319999998</v>
      </c>
      <c r="V20">
        <v>0</v>
      </c>
      <c r="W20">
        <v>0</v>
      </c>
      <c r="X20">
        <v>0</v>
      </c>
    </row>
    <row r="21" spans="1:28" x14ac:dyDescent="0.3">
      <c r="A21">
        <v>165</v>
      </c>
      <c r="B21">
        <v>22</v>
      </c>
      <c r="C21">
        <v>15</v>
      </c>
      <c r="D21">
        <v>37</v>
      </c>
      <c r="E21">
        <v>2653</v>
      </c>
      <c r="F21">
        <v>2690</v>
      </c>
      <c r="G21">
        <v>641</v>
      </c>
      <c r="H21">
        <v>3331</v>
      </c>
      <c r="J21">
        <v>645954</v>
      </c>
      <c r="K21">
        <f t="shared" ref="K21:K32" si="5">J21/1000</f>
        <v>645.95399999999995</v>
      </c>
      <c r="M21">
        <f t="shared" si="4"/>
        <v>14.210988</v>
      </c>
      <c r="N21">
        <f t="shared" si="4"/>
        <v>9.6893100000000008</v>
      </c>
      <c r="O21">
        <f t="shared" si="4"/>
        <v>23.900297999999999</v>
      </c>
      <c r="P21">
        <f t="shared" si="4"/>
        <v>1713.715962</v>
      </c>
      <c r="Q21">
        <f t="shared" si="4"/>
        <v>1737.61626</v>
      </c>
      <c r="R21">
        <f t="shared" si="4"/>
        <v>414.05651399999999</v>
      </c>
      <c r="S21">
        <f t="shared" si="4"/>
        <v>2151.6727740000001</v>
      </c>
      <c r="V21">
        <v>0</v>
      </c>
      <c r="W21">
        <v>0</v>
      </c>
      <c r="X21">
        <v>0</v>
      </c>
    </row>
    <row r="22" spans="1:28" x14ac:dyDescent="0.3">
      <c r="A22">
        <v>172</v>
      </c>
      <c r="B22">
        <v>27</v>
      </c>
      <c r="C22">
        <v>45</v>
      </c>
      <c r="D22">
        <v>72</v>
      </c>
      <c r="E22">
        <v>2838</v>
      </c>
      <c r="F22">
        <v>2910</v>
      </c>
      <c r="G22">
        <v>658.63935000000015</v>
      </c>
      <c r="H22">
        <v>3568.6393500000004</v>
      </c>
      <c r="J22">
        <v>605375</v>
      </c>
      <c r="K22">
        <f t="shared" si="5"/>
        <v>605.375</v>
      </c>
      <c r="M22">
        <f t="shared" si="4"/>
        <v>16.345124999999999</v>
      </c>
      <c r="N22">
        <f t="shared" si="4"/>
        <v>27.241875</v>
      </c>
      <c r="O22">
        <f t="shared" si="4"/>
        <v>43.587000000000003</v>
      </c>
      <c r="P22">
        <f t="shared" si="4"/>
        <v>1718.0542499999999</v>
      </c>
      <c r="Q22">
        <f t="shared" si="4"/>
        <v>1761.6412499999999</v>
      </c>
      <c r="R22">
        <f t="shared" si="4"/>
        <v>398.7237965062501</v>
      </c>
      <c r="S22">
        <f t="shared" si="4"/>
        <v>2160.3650465062506</v>
      </c>
      <c r="V22">
        <v>0</v>
      </c>
      <c r="W22">
        <v>0</v>
      </c>
      <c r="X22">
        <v>0</v>
      </c>
    </row>
    <row r="23" spans="1:28" x14ac:dyDescent="0.3">
      <c r="A23">
        <v>179</v>
      </c>
      <c r="B23">
        <v>82</v>
      </c>
      <c r="C23">
        <v>25</v>
      </c>
      <c r="D23">
        <v>107</v>
      </c>
      <c r="E23">
        <v>1073</v>
      </c>
      <c r="F23">
        <v>1180</v>
      </c>
      <c r="G23">
        <v>423</v>
      </c>
      <c r="H23">
        <v>1603</v>
      </c>
      <c r="J23">
        <v>697011</v>
      </c>
      <c r="K23">
        <f t="shared" si="5"/>
        <v>697.01099999999997</v>
      </c>
      <c r="M23">
        <f t="shared" si="4"/>
        <v>57.154902</v>
      </c>
      <c r="N23">
        <f t="shared" si="4"/>
        <v>17.425274999999999</v>
      </c>
      <c r="O23">
        <f t="shared" si="4"/>
        <v>74.580177000000006</v>
      </c>
      <c r="P23">
        <f t="shared" si="4"/>
        <v>747.89280299999996</v>
      </c>
      <c r="Q23">
        <f t="shared" si="4"/>
        <v>822.47298000000001</v>
      </c>
      <c r="R23">
        <f t="shared" si="4"/>
        <v>294.83565299999998</v>
      </c>
      <c r="S23">
        <f t="shared" si="4"/>
        <v>1117.3086330000001</v>
      </c>
      <c r="V23">
        <v>0</v>
      </c>
      <c r="W23">
        <v>0</v>
      </c>
      <c r="X23">
        <v>0</v>
      </c>
    </row>
    <row r="24" spans="1:28" x14ac:dyDescent="0.3">
      <c r="A24">
        <v>186</v>
      </c>
      <c r="B24">
        <v>577</v>
      </c>
      <c r="C24">
        <v>70</v>
      </c>
      <c r="D24">
        <v>647</v>
      </c>
      <c r="E24">
        <v>2813</v>
      </c>
      <c r="F24">
        <v>3460</v>
      </c>
      <c r="G24">
        <v>495.55934999999999</v>
      </c>
      <c r="H24">
        <v>3955.55935</v>
      </c>
      <c r="J24">
        <v>788647</v>
      </c>
      <c r="K24">
        <f t="shared" si="5"/>
        <v>788.64700000000005</v>
      </c>
      <c r="M24">
        <f t="shared" si="4"/>
        <v>455.04931900000003</v>
      </c>
      <c r="N24">
        <f t="shared" si="4"/>
        <v>55.205289999999998</v>
      </c>
      <c r="O24">
        <f t="shared" si="4"/>
        <v>510.25460900000002</v>
      </c>
      <c r="P24">
        <f t="shared" si="4"/>
        <v>2218.464011</v>
      </c>
      <c r="Q24">
        <f t="shared" si="4"/>
        <v>2728.7186200000001</v>
      </c>
      <c r="R24">
        <f t="shared" si="4"/>
        <v>390.82139469945002</v>
      </c>
      <c r="S24">
        <f t="shared" si="4"/>
        <v>3119.5400146994502</v>
      </c>
      <c r="V24">
        <v>0</v>
      </c>
      <c r="W24">
        <v>0</v>
      </c>
      <c r="X24">
        <v>0</v>
      </c>
    </row>
    <row r="25" spans="1:28" x14ac:dyDescent="0.3">
      <c r="A25">
        <v>193</v>
      </c>
      <c r="B25">
        <v>1435</v>
      </c>
      <c r="C25">
        <v>45</v>
      </c>
      <c r="D25">
        <v>1480</v>
      </c>
      <c r="E25">
        <v>4070</v>
      </c>
      <c r="F25">
        <v>5550</v>
      </c>
      <c r="G25">
        <v>495.96704999999986</v>
      </c>
      <c r="H25">
        <v>6045.9670500000002</v>
      </c>
      <c r="J25">
        <v>599640</v>
      </c>
      <c r="K25">
        <f t="shared" si="5"/>
        <v>599.64</v>
      </c>
      <c r="M25">
        <f t="shared" si="4"/>
        <v>860.48339999999996</v>
      </c>
      <c r="N25">
        <f t="shared" si="4"/>
        <v>26.983799999999999</v>
      </c>
      <c r="O25">
        <f t="shared" si="4"/>
        <v>887.46720000000005</v>
      </c>
      <c r="P25">
        <f t="shared" si="4"/>
        <v>2440.5347999999999</v>
      </c>
      <c r="Q25">
        <f t="shared" si="4"/>
        <v>3328.002</v>
      </c>
      <c r="R25">
        <f t="shared" si="4"/>
        <v>297.40168186199992</v>
      </c>
      <c r="S25">
        <f t="shared" si="4"/>
        <v>3625.4036818620002</v>
      </c>
      <c r="V25">
        <v>0</v>
      </c>
      <c r="W25">
        <v>0</v>
      </c>
      <c r="X25">
        <v>0</v>
      </c>
    </row>
    <row r="26" spans="1:28" x14ac:dyDescent="0.3">
      <c r="A26">
        <v>200</v>
      </c>
      <c r="B26">
        <v>1070</v>
      </c>
      <c r="C26">
        <v>25</v>
      </c>
      <c r="D26">
        <v>1095</v>
      </c>
      <c r="E26">
        <v>3875</v>
      </c>
      <c r="F26">
        <v>4970</v>
      </c>
      <c r="G26">
        <v>389.76120000000003</v>
      </c>
      <c r="H26">
        <v>5359.7611999999999</v>
      </c>
      <c r="J26">
        <v>665045</v>
      </c>
      <c r="K26">
        <f t="shared" si="5"/>
        <v>665.04499999999996</v>
      </c>
      <c r="M26">
        <f t="shared" si="4"/>
        <v>711.59815000000003</v>
      </c>
      <c r="N26">
        <f t="shared" si="4"/>
        <v>16.626124999999998</v>
      </c>
      <c r="O26">
        <f t="shared" si="4"/>
        <v>728.22427500000003</v>
      </c>
      <c r="P26">
        <f t="shared" si="4"/>
        <v>2577.0493750000001</v>
      </c>
      <c r="Q26">
        <f t="shared" si="4"/>
        <v>3305.2736500000001</v>
      </c>
      <c r="R26">
        <f t="shared" si="4"/>
        <v>259.20873725400003</v>
      </c>
      <c r="S26">
        <f t="shared" si="4"/>
        <v>3564.4823872539996</v>
      </c>
      <c r="T26" s="1">
        <v>3430</v>
      </c>
      <c r="V26">
        <v>3.43</v>
      </c>
      <c r="W26">
        <v>5.1575457299881968</v>
      </c>
      <c r="X26">
        <v>5157.5457299881964</v>
      </c>
      <c r="Y26">
        <v>5157.5457299881964</v>
      </c>
      <c r="Z26">
        <v>3430000000</v>
      </c>
      <c r="AA26">
        <f>Z26/1000000</f>
        <v>3430</v>
      </c>
      <c r="AB26">
        <f>AA26/K26</f>
        <v>5.1575457299881968</v>
      </c>
    </row>
    <row r="27" spans="1:28" x14ac:dyDescent="0.3">
      <c r="A27">
        <v>207</v>
      </c>
      <c r="B27">
        <v>1005</v>
      </c>
      <c r="C27">
        <v>30</v>
      </c>
      <c r="D27">
        <v>1035</v>
      </c>
      <c r="E27">
        <v>3905</v>
      </c>
      <c r="F27">
        <v>4940</v>
      </c>
      <c r="G27">
        <v>1086.18075</v>
      </c>
      <c r="H27">
        <v>6026.1807499999995</v>
      </c>
      <c r="J27">
        <v>686532</v>
      </c>
      <c r="K27">
        <f t="shared" si="5"/>
        <v>686.53200000000004</v>
      </c>
      <c r="M27">
        <f t="shared" si="4"/>
        <v>689.96465999999998</v>
      </c>
      <c r="N27">
        <f t="shared" si="4"/>
        <v>20.595960000000002</v>
      </c>
      <c r="O27">
        <f t="shared" si="4"/>
        <v>710.56061999999997</v>
      </c>
      <c r="P27">
        <f t="shared" si="4"/>
        <v>2680.9074599999999</v>
      </c>
      <c r="Q27">
        <f t="shared" si="4"/>
        <v>3391.4680800000001</v>
      </c>
      <c r="R27">
        <f t="shared" si="4"/>
        <v>745.697842659</v>
      </c>
      <c r="S27">
        <f t="shared" si="4"/>
        <v>4137.1659226589991</v>
      </c>
      <c r="T27" s="1">
        <v>6970.8201851002568</v>
      </c>
      <c r="V27">
        <v>3.43</v>
      </c>
      <c r="W27">
        <v>4.9961254537297606</v>
      </c>
      <c r="X27">
        <v>4996.1254537297609</v>
      </c>
      <c r="Y27">
        <v>10153.671183717957</v>
      </c>
      <c r="Z27">
        <v>6970820185.1002569</v>
      </c>
      <c r="AA27">
        <f t="shared" ref="AA27:AA32" si="6">Z27/1000000</f>
        <v>6970.8201851002568</v>
      </c>
      <c r="AB27">
        <f t="shared" ref="AB27:AB32" si="7">AA27/K27</f>
        <v>10.153671183717957</v>
      </c>
    </row>
    <row r="28" spans="1:28" x14ac:dyDescent="0.3">
      <c r="A28">
        <v>215</v>
      </c>
      <c r="B28">
        <v>3305</v>
      </c>
      <c r="C28">
        <v>26</v>
      </c>
      <c r="D28">
        <v>3331</v>
      </c>
      <c r="E28">
        <v>7049</v>
      </c>
      <c r="F28">
        <v>10380</v>
      </c>
      <c r="G28">
        <v>1033.04385</v>
      </c>
      <c r="H28">
        <v>11413.04385</v>
      </c>
      <c r="J28">
        <v>643816</v>
      </c>
      <c r="K28">
        <f t="shared" si="5"/>
        <v>643.81600000000003</v>
      </c>
      <c r="M28">
        <f t="shared" si="4"/>
        <v>2127.8118800000002</v>
      </c>
      <c r="N28">
        <f t="shared" si="4"/>
        <v>16.739215999999999</v>
      </c>
      <c r="O28">
        <f t="shared" si="4"/>
        <v>2144.5510960000001</v>
      </c>
      <c r="P28">
        <f t="shared" si="4"/>
        <v>4538.2589840000001</v>
      </c>
      <c r="Q28">
        <f t="shared" si="4"/>
        <v>6682.8100800000002</v>
      </c>
      <c r="R28">
        <f t="shared" si="4"/>
        <v>665.09015933160003</v>
      </c>
      <c r="S28">
        <f t="shared" si="4"/>
        <v>7347.9002393316005</v>
      </c>
      <c r="T28" s="1">
        <v>9967.0959668165615</v>
      </c>
      <c r="V28">
        <v>3.43</v>
      </c>
      <c r="W28">
        <v>5.3276091305590425</v>
      </c>
      <c r="X28">
        <v>5327.6091305590426</v>
      </c>
      <c r="Y28">
        <v>15481.280314276999</v>
      </c>
      <c r="Z28">
        <v>9967095966.8165607</v>
      </c>
      <c r="AA28">
        <f t="shared" si="6"/>
        <v>9967.0959668165615</v>
      </c>
      <c r="AB28">
        <f t="shared" si="7"/>
        <v>15.481280314277001</v>
      </c>
    </row>
    <row r="29" spans="1:28" x14ac:dyDescent="0.3">
      <c r="A29">
        <v>221</v>
      </c>
      <c r="B29">
        <v>1940</v>
      </c>
      <c r="C29">
        <v>137</v>
      </c>
      <c r="D29">
        <v>2077</v>
      </c>
      <c r="E29">
        <v>3693</v>
      </c>
      <c r="F29">
        <v>5770</v>
      </c>
      <c r="G29">
        <v>1561.8307500000001</v>
      </c>
      <c r="H29">
        <v>7331.8307500000001</v>
      </c>
      <c r="J29">
        <v>547383</v>
      </c>
      <c r="K29">
        <f t="shared" si="5"/>
        <v>547.38300000000004</v>
      </c>
      <c r="M29">
        <f t="shared" si="4"/>
        <v>1061.92302</v>
      </c>
      <c r="N29">
        <f t="shared" si="4"/>
        <v>74.991471000000004</v>
      </c>
      <c r="O29">
        <f t="shared" si="4"/>
        <v>1136.914491</v>
      </c>
      <c r="P29">
        <f t="shared" si="4"/>
        <v>2021.4854190000001</v>
      </c>
      <c r="Q29">
        <f t="shared" si="4"/>
        <v>3158.3999100000001</v>
      </c>
      <c r="R29">
        <f t="shared" si="4"/>
        <v>854.91960142724997</v>
      </c>
      <c r="S29">
        <f t="shared" si="4"/>
        <v>4013.3195114272498</v>
      </c>
      <c r="T29" s="1">
        <v>11904.189662269888</v>
      </c>
      <c r="V29">
        <v>3.43</v>
      </c>
      <c r="W29">
        <v>6.266179256571724</v>
      </c>
      <c r="X29">
        <v>6266.1792565717242</v>
      </c>
      <c r="Y29">
        <v>21747.459570848725</v>
      </c>
      <c r="Z29">
        <v>11904189662.269888</v>
      </c>
      <c r="AA29">
        <f t="shared" si="6"/>
        <v>11904.189662269888</v>
      </c>
      <c r="AB29">
        <f t="shared" si="7"/>
        <v>21.747459570848722</v>
      </c>
    </row>
    <row r="30" spans="1:28" x14ac:dyDescent="0.3">
      <c r="A30">
        <v>228</v>
      </c>
      <c r="B30">
        <v>895</v>
      </c>
      <c r="C30">
        <v>250</v>
      </c>
      <c r="D30">
        <v>1145</v>
      </c>
      <c r="E30">
        <v>4175</v>
      </c>
      <c r="F30">
        <v>5320</v>
      </c>
      <c r="G30">
        <v>2755.7802000000001</v>
      </c>
      <c r="H30">
        <v>8075.7802000000001</v>
      </c>
      <c r="J30">
        <v>569687</v>
      </c>
      <c r="K30">
        <f t="shared" si="5"/>
        <v>569.68700000000001</v>
      </c>
      <c r="M30">
        <f t="shared" si="4"/>
        <v>509.869865</v>
      </c>
      <c r="N30">
        <f t="shared" si="4"/>
        <v>142.42175</v>
      </c>
      <c r="O30">
        <f t="shared" si="4"/>
        <v>652.29161499999998</v>
      </c>
      <c r="P30">
        <f t="shared" si="4"/>
        <v>2378.443225</v>
      </c>
      <c r="Q30">
        <f t="shared" si="4"/>
        <v>3030.7348400000001</v>
      </c>
      <c r="R30">
        <f t="shared" si="4"/>
        <v>1569.9321547974</v>
      </c>
      <c r="S30">
        <f t="shared" si="4"/>
        <v>4600.6669947974005</v>
      </c>
      <c r="T30" s="1">
        <v>15819.245000538098</v>
      </c>
      <c r="V30">
        <v>3.43</v>
      </c>
      <c r="W30">
        <v>6.0208500457268643</v>
      </c>
      <c r="X30">
        <v>6020.8500457268647</v>
      </c>
      <c r="Y30">
        <v>27768.309616575589</v>
      </c>
      <c r="Z30">
        <v>15819245000.538097</v>
      </c>
      <c r="AA30">
        <f t="shared" si="6"/>
        <v>15819.245000538098</v>
      </c>
      <c r="AB30">
        <f t="shared" si="7"/>
        <v>27.768309616575589</v>
      </c>
    </row>
    <row r="31" spans="1:28" x14ac:dyDescent="0.3">
      <c r="A31">
        <v>238</v>
      </c>
      <c r="B31">
        <v>2220</v>
      </c>
      <c r="C31">
        <v>345</v>
      </c>
      <c r="D31">
        <v>2565</v>
      </c>
      <c r="E31">
        <v>3895</v>
      </c>
      <c r="F31">
        <v>6460</v>
      </c>
      <c r="G31">
        <v>1390.3929000000001</v>
      </c>
      <c r="H31">
        <v>7850.3928999999998</v>
      </c>
      <c r="J31">
        <v>476983</v>
      </c>
      <c r="K31">
        <f t="shared" si="5"/>
        <v>476.983</v>
      </c>
      <c r="M31">
        <f t="shared" si="4"/>
        <v>1058.9022600000001</v>
      </c>
      <c r="N31">
        <f t="shared" si="4"/>
        <v>164.559135</v>
      </c>
      <c r="O31">
        <f t="shared" si="4"/>
        <v>1223.461395</v>
      </c>
      <c r="P31">
        <f t="shared" si="4"/>
        <v>1857.8487849999999</v>
      </c>
      <c r="Q31">
        <f t="shared" si="4"/>
        <v>3081.3101799999999</v>
      </c>
      <c r="R31">
        <f t="shared" si="4"/>
        <v>663.19377662069996</v>
      </c>
      <c r="S31">
        <f t="shared" si="4"/>
        <v>3744.5039566206997</v>
      </c>
      <c r="T31" s="1">
        <v>16675.011625843075</v>
      </c>
      <c r="V31">
        <v>3.43</v>
      </c>
      <c r="W31">
        <v>7.1910319654998194</v>
      </c>
      <c r="X31">
        <v>7191.0319654998193</v>
      </c>
      <c r="Y31">
        <v>34959.341582075409</v>
      </c>
      <c r="Z31">
        <v>16675011625.843075</v>
      </c>
      <c r="AA31">
        <f t="shared" si="6"/>
        <v>16675.011625843075</v>
      </c>
      <c r="AB31">
        <f t="shared" si="7"/>
        <v>34.95934158207541</v>
      </c>
    </row>
    <row r="32" spans="1:28" x14ac:dyDescent="0.3">
      <c r="A32">
        <v>245</v>
      </c>
      <c r="B32">
        <v>1780</v>
      </c>
      <c r="C32">
        <v>672</v>
      </c>
      <c r="D32">
        <v>2452</v>
      </c>
      <c r="E32">
        <v>5568</v>
      </c>
      <c r="F32">
        <v>8020</v>
      </c>
      <c r="G32">
        <v>470</v>
      </c>
      <c r="H32">
        <v>8490</v>
      </c>
      <c r="J32">
        <v>548384</v>
      </c>
      <c r="K32">
        <f t="shared" si="5"/>
        <v>548.38400000000001</v>
      </c>
      <c r="M32">
        <f t="shared" si="4"/>
        <v>976.12351999999998</v>
      </c>
      <c r="N32">
        <f t="shared" si="4"/>
        <v>368.514048</v>
      </c>
      <c r="O32">
        <f t="shared" si="4"/>
        <v>1344.6375680000001</v>
      </c>
      <c r="P32">
        <f t="shared" si="4"/>
        <v>3053.4021120000002</v>
      </c>
      <c r="Q32">
        <f t="shared" si="4"/>
        <v>4398.0396799999999</v>
      </c>
      <c r="R32">
        <f t="shared" si="4"/>
        <v>257.74047999999999</v>
      </c>
      <c r="S32">
        <f t="shared" si="4"/>
        <v>4655.7801600000003</v>
      </c>
      <c r="T32" s="1">
        <v>0</v>
      </c>
      <c r="V32">
        <v>0</v>
      </c>
      <c r="W32">
        <v>0</v>
      </c>
      <c r="X32">
        <v>0</v>
      </c>
      <c r="Y32">
        <v>34959.341582075409</v>
      </c>
      <c r="Z32">
        <v>16675011625.843075</v>
      </c>
      <c r="AA32">
        <f t="shared" si="6"/>
        <v>16675.011625843075</v>
      </c>
      <c r="AB32">
        <f t="shared" si="7"/>
        <v>30.407545854443374</v>
      </c>
    </row>
    <row r="34" spans="1:28" x14ac:dyDescent="0.3">
      <c r="A34" t="s">
        <v>30</v>
      </c>
      <c r="B34" t="s">
        <v>1</v>
      </c>
      <c r="V34" t="s">
        <v>2</v>
      </c>
    </row>
    <row r="35" spans="1:28" x14ac:dyDescent="0.3">
      <c r="A35" t="s">
        <v>3</v>
      </c>
      <c r="B35" t="s">
        <v>4</v>
      </c>
      <c r="C35" t="s">
        <v>5</v>
      </c>
      <c r="D35" t="s">
        <v>6</v>
      </c>
      <c r="E35" t="s">
        <v>7</v>
      </c>
      <c r="F35" t="s">
        <v>8</v>
      </c>
      <c r="G35" t="s">
        <v>9</v>
      </c>
      <c r="H35" t="s">
        <v>10</v>
      </c>
      <c r="J35" t="s">
        <v>11</v>
      </c>
      <c r="K35" t="s">
        <v>12</v>
      </c>
      <c r="M35" t="s">
        <v>13</v>
      </c>
      <c r="N35" t="s">
        <v>14</v>
      </c>
      <c r="O35" t="s">
        <v>15</v>
      </c>
      <c r="P35" t="s">
        <v>16</v>
      </c>
      <c r="Q35" t="s">
        <v>17</v>
      </c>
      <c r="R35" t="s">
        <v>18</v>
      </c>
      <c r="S35" t="s">
        <v>19</v>
      </c>
      <c r="T35" t="s">
        <v>29</v>
      </c>
      <c r="V35" t="s">
        <v>21</v>
      </c>
      <c r="W35" t="s">
        <v>22</v>
      </c>
      <c r="X35" t="s">
        <v>23</v>
      </c>
      <c r="Y35" t="s">
        <v>24</v>
      </c>
      <c r="Z35" t="s">
        <v>25</v>
      </c>
    </row>
    <row r="36" spans="1:28" x14ac:dyDescent="0.3">
      <c r="A36">
        <v>152</v>
      </c>
      <c r="B36">
        <v>81</v>
      </c>
      <c r="C36">
        <v>403</v>
      </c>
      <c r="D36">
        <v>484</v>
      </c>
      <c r="E36">
        <v>2206</v>
      </c>
      <c r="F36">
        <v>2690</v>
      </c>
      <c r="G36">
        <v>43</v>
      </c>
      <c r="H36">
        <v>2733</v>
      </c>
      <c r="J36">
        <v>395488</v>
      </c>
      <c r="K36">
        <f>J36/1000</f>
        <v>395.488</v>
      </c>
      <c r="M36">
        <f t="shared" ref="M36:S47" si="8">(B36*$J36)/1000000</f>
        <v>32.034528000000002</v>
      </c>
      <c r="N36">
        <f t="shared" si="8"/>
        <v>159.381664</v>
      </c>
      <c r="O36">
        <f t="shared" si="8"/>
        <v>191.416192</v>
      </c>
      <c r="P36">
        <f t="shared" si="8"/>
        <v>872.44652799999994</v>
      </c>
      <c r="Q36">
        <f t="shared" si="8"/>
        <v>1063.8627200000001</v>
      </c>
      <c r="R36">
        <f t="shared" si="8"/>
        <v>17.005984000000002</v>
      </c>
      <c r="S36">
        <f t="shared" si="8"/>
        <v>1080.868704</v>
      </c>
      <c r="V36">
        <v>0</v>
      </c>
      <c r="W36">
        <v>0</v>
      </c>
      <c r="X36">
        <v>0</v>
      </c>
    </row>
    <row r="37" spans="1:28" x14ac:dyDescent="0.3">
      <c r="A37">
        <v>165</v>
      </c>
      <c r="B37">
        <v>93</v>
      </c>
      <c r="C37">
        <v>3</v>
      </c>
      <c r="D37">
        <v>96</v>
      </c>
      <c r="E37">
        <v>2494</v>
      </c>
      <c r="F37">
        <v>2590</v>
      </c>
      <c r="G37">
        <v>213</v>
      </c>
      <c r="H37">
        <v>2803</v>
      </c>
      <c r="J37">
        <v>377058</v>
      </c>
      <c r="K37">
        <f t="shared" ref="K37:K47" si="9">J37/1000</f>
        <v>377.05799999999999</v>
      </c>
      <c r="M37">
        <f t="shared" si="8"/>
        <v>35.066394000000003</v>
      </c>
      <c r="N37">
        <f t="shared" si="8"/>
        <v>1.1311739999999999</v>
      </c>
      <c r="O37">
        <f t="shared" si="8"/>
        <v>36.197567999999997</v>
      </c>
      <c r="P37">
        <f t="shared" si="8"/>
        <v>940.38265200000001</v>
      </c>
      <c r="Q37">
        <f t="shared" si="8"/>
        <v>976.58022000000005</v>
      </c>
      <c r="R37">
        <f t="shared" si="8"/>
        <v>80.313354000000004</v>
      </c>
      <c r="S37">
        <f t="shared" si="8"/>
        <v>1056.8935739999999</v>
      </c>
      <c r="V37">
        <v>0</v>
      </c>
      <c r="W37">
        <v>0</v>
      </c>
      <c r="X37">
        <v>0</v>
      </c>
    </row>
    <row r="38" spans="1:28" x14ac:dyDescent="0.3">
      <c r="A38">
        <v>172</v>
      </c>
      <c r="B38">
        <v>215</v>
      </c>
      <c r="C38">
        <v>13</v>
      </c>
      <c r="D38">
        <v>228</v>
      </c>
      <c r="E38">
        <v>2632</v>
      </c>
      <c r="F38">
        <v>2860</v>
      </c>
      <c r="G38">
        <v>438.88905</v>
      </c>
      <c r="H38">
        <v>3298.8890499999998</v>
      </c>
      <c r="J38">
        <v>358629</v>
      </c>
      <c r="K38">
        <f t="shared" si="9"/>
        <v>358.62900000000002</v>
      </c>
      <c r="M38">
        <f t="shared" si="8"/>
        <v>77.105234999999993</v>
      </c>
      <c r="N38">
        <f t="shared" si="8"/>
        <v>4.6621769999999998</v>
      </c>
      <c r="O38">
        <f t="shared" si="8"/>
        <v>81.767411999999993</v>
      </c>
      <c r="P38">
        <f t="shared" si="8"/>
        <v>943.91152799999998</v>
      </c>
      <c r="Q38">
        <f t="shared" si="8"/>
        <v>1025.67894</v>
      </c>
      <c r="R38">
        <f t="shared" si="8"/>
        <v>157.39834111245</v>
      </c>
      <c r="S38">
        <f t="shared" si="8"/>
        <v>1183.0772811124498</v>
      </c>
      <c r="V38">
        <v>0</v>
      </c>
      <c r="W38">
        <v>0</v>
      </c>
      <c r="X38">
        <v>0</v>
      </c>
    </row>
    <row r="39" spans="1:28" x14ac:dyDescent="0.3">
      <c r="A39">
        <v>179</v>
      </c>
      <c r="B39">
        <v>251</v>
      </c>
      <c r="C39">
        <v>35</v>
      </c>
      <c r="D39">
        <v>286</v>
      </c>
      <c r="E39">
        <v>2934</v>
      </c>
      <c r="F39">
        <v>3220</v>
      </c>
      <c r="G39">
        <v>54</v>
      </c>
      <c r="H39">
        <v>3274</v>
      </c>
      <c r="J39">
        <v>293811</v>
      </c>
      <c r="K39">
        <f t="shared" si="9"/>
        <v>293.81099999999998</v>
      </c>
      <c r="M39">
        <f t="shared" si="8"/>
        <v>73.746561</v>
      </c>
      <c r="N39">
        <f t="shared" si="8"/>
        <v>10.283385000000001</v>
      </c>
      <c r="O39">
        <f t="shared" si="8"/>
        <v>84.029945999999995</v>
      </c>
      <c r="P39">
        <f t="shared" si="8"/>
        <v>862.04147399999999</v>
      </c>
      <c r="Q39">
        <f t="shared" si="8"/>
        <v>946.07141999999999</v>
      </c>
      <c r="R39">
        <f t="shared" si="8"/>
        <v>15.865793999999999</v>
      </c>
      <c r="S39">
        <f t="shared" si="8"/>
        <v>961.93721400000004</v>
      </c>
      <c r="V39">
        <v>0</v>
      </c>
      <c r="W39">
        <v>0</v>
      </c>
      <c r="X39">
        <v>0</v>
      </c>
    </row>
    <row r="40" spans="1:28" x14ac:dyDescent="0.3">
      <c r="A40">
        <v>186</v>
      </c>
      <c r="B40">
        <v>138</v>
      </c>
      <c r="C40">
        <v>8</v>
      </c>
      <c r="D40">
        <v>146</v>
      </c>
      <c r="E40">
        <v>3074</v>
      </c>
      <c r="F40">
        <v>3220</v>
      </c>
      <c r="G40">
        <v>206.43209999999999</v>
      </c>
      <c r="H40">
        <v>3426.4321</v>
      </c>
      <c r="J40">
        <v>228993</v>
      </c>
      <c r="K40">
        <f t="shared" si="9"/>
        <v>228.99299999999999</v>
      </c>
      <c r="M40">
        <f t="shared" si="8"/>
        <v>31.601033999999999</v>
      </c>
      <c r="N40">
        <f t="shared" si="8"/>
        <v>1.831944</v>
      </c>
      <c r="O40">
        <f t="shared" si="8"/>
        <v>33.432977999999999</v>
      </c>
      <c r="P40">
        <f t="shared" si="8"/>
        <v>703.92448200000001</v>
      </c>
      <c r="Q40">
        <f t="shared" si="8"/>
        <v>737.35745999999995</v>
      </c>
      <c r="R40">
        <f t="shared" si="8"/>
        <v>47.271505875300001</v>
      </c>
      <c r="S40">
        <f t="shared" si="8"/>
        <v>784.62896587530008</v>
      </c>
      <c r="V40">
        <v>0</v>
      </c>
      <c r="W40">
        <v>0</v>
      </c>
      <c r="X40">
        <v>0</v>
      </c>
    </row>
    <row r="41" spans="1:28" x14ac:dyDescent="0.3">
      <c r="A41">
        <v>193</v>
      </c>
      <c r="B41">
        <v>273</v>
      </c>
      <c r="C41">
        <v>11</v>
      </c>
      <c r="D41">
        <v>284</v>
      </c>
      <c r="E41">
        <v>3186</v>
      </c>
      <c r="F41">
        <v>3470</v>
      </c>
      <c r="G41">
        <v>45.458550000000002</v>
      </c>
      <c r="H41">
        <v>3515.4585499999998</v>
      </c>
      <c r="J41">
        <v>284449</v>
      </c>
      <c r="K41">
        <f t="shared" si="9"/>
        <v>284.44900000000001</v>
      </c>
      <c r="M41">
        <f t="shared" si="8"/>
        <v>77.654577000000003</v>
      </c>
      <c r="N41">
        <f t="shared" si="8"/>
        <v>3.1289389999999999</v>
      </c>
      <c r="O41">
        <f t="shared" si="8"/>
        <v>80.783516000000006</v>
      </c>
      <c r="P41">
        <f t="shared" si="8"/>
        <v>906.25451399999997</v>
      </c>
      <c r="Q41">
        <f t="shared" si="8"/>
        <v>987.03803000000005</v>
      </c>
      <c r="R41">
        <f t="shared" si="8"/>
        <v>12.93063908895</v>
      </c>
      <c r="S41">
        <f t="shared" si="8"/>
        <v>999.96866908894992</v>
      </c>
      <c r="V41">
        <v>0</v>
      </c>
      <c r="W41">
        <v>0</v>
      </c>
      <c r="X41">
        <v>0</v>
      </c>
    </row>
    <row r="42" spans="1:28" x14ac:dyDescent="0.3">
      <c r="A42">
        <v>200</v>
      </c>
      <c r="B42">
        <v>258</v>
      </c>
      <c r="C42">
        <v>10</v>
      </c>
      <c r="D42">
        <v>268</v>
      </c>
      <c r="E42">
        <v>3302</v>
      </c>
      <c r="F42">
        <v>3570</v>
      </c>
      <c r="G42">
        <v>55.447200000000002</v>
      </c>
      <c r="H42">
        <v>3625.4472000000001</v>
      </c>
      <c r="J42">
        <v>267793</v>
      </c>
      <c r="K42">
        <f t="shared" si="9"/>
        <v>267.79300000000001</v>
      </c>
      <c r="M42">
        <f t="shared" si="8"/>
        <v>69.090593999999996</v>
      </c>
      <c r="N42">
        <f t="shared" si="8"/>
        <v>2.6779299999999999</v>
      </c>
      <c r="O42">
        <f t="shared" si="8"/>
        <v>71.768523999999999</v>
      </c>
      <c r="P42">
        <f t="shared" si="8"/>
        <v>884.25248599999998</v>
      </c>
      <c r="Q42">
        <f t="shared" si="8"/>
        <v>956.02101000000005</v>
      </c>
      <c r="R42">
        <f t="shared" si="8"/>
        <v>14.8483720296</v>
      </c>
      <c r="S42">
        <f t="shared" si="8"/>
        <v>970.86938202960005</v>
      </c>
      <c r="T42" s="1">
        <v>4680</v>
      </c>
      <c r="V42">
        <v>4.68</v>
      </c>
      <c r="W42">
        <v>17.476184963759323</v>
      </c>
      <c r="X42">
        <v>17476.184963759322</v>
      </c>
      <c r="Y42">
        <v>17476.184963759322</v>
      </c>
      <c r="Z42">
        <v>4680000000</v>
      </c>
      <c r="AA42">
        <f>Z42/1000000</f>
        <v>4680</v>
      </c>
      <c r="AB42">
        <f>AA42/K42</f>
        <v>17.476184963759319</v>
      </c>
    </row>
    <row r="43" spans="1:28" x14ac:dyDescent="0.3">
      <c r="A43">
        <v>207</v>
      </c>
      <c r="B43">
        <v>1070</v>
      </c>
      <c r="C43">
        <v>265</v>
      </c>
      <c r="D43">
        <v>1335</v>
      </c>
      <c r="E43">
        <v>6325</v>
      </c>
      <c r="F43">
        <v>7660</v>
      </c>
      <c r="G43">
        <v>673.86015000000009</v>
      </c>
      <c r="H43">
        <v>8333.8601500000004</v>
      </c>
      <c r="J43">
        <v>217187</v>
      </c>
      <c r="K43">
        <f t="shared" si="9"/>
        <v>217.18700000000001</v>
      </c>
      <c r="M43">
        <f t="shared" si="8"/>
        <v>232.39008999999999</v>
      </c>
      <c r="N43">
        <f t="shared" si="8"/>
        <v>57.554555000000001</v>
      </c>
      <c r="O43">
        <f t="shared" si="8"/>
        <v>289.94464499999998</v>
      </c>
      <c r="P43">
        <f t="shared" si="8"/>
        <v>1373.7077750000001</v>
      </c>
      <c r="Q43">
        <f t="shared" si="8"/>
        <v>1663.6524199999999</v>
      </c>
      <c r="R43">
        <f t="shared" si="8"/>
        <v>146.35366439805</v>
      </c>
      <c r="S43">
        <f t="shared" si="8"/>
        <v>1810.00608439805</v>
      </c>
      <c r="T43" s="1">
        <v>6925.6001837239965</v>
      </c>
      <c r="V43">
        <v>3.13</v>
      </c>
      <c r="W43">
        <v>14.411543969022087</v>
      </c>
      <c r="X43">
        <v>14411.543969022088</v>
      </c>
      <c r="Y43">
        <v>31887.728932781411</v>
      </c>
      <c r="Z43">
        <v>6925600183.7239962</v>
      </c>
      <c r="AA43">
        <f t="shared" ref="AA43:AA47" si="10">Z43/1000000</f>
        <v>6925.6001837239965</v>
      </c>
      <c r="AB43">
        <f t="shared" ref="AB43:AB47" si="11">AA43/K43</f>
        <v>31.88772893278141</v>
      </c>
    </row>
    <row r="44" spans="1:28" x14ac:dyDescent="0.3">
      <c r="A44">
        <v>215</v>
      </c>
      <c r="B44">
        <v>2610</v>
      </c>
      <c r="C44">
        <v>307</v>
      </c>
      <c r="D44">
        <v>2917</v>
      </c>
      <c r="E44">
        <v>6863</v>
      </c>
      <c r="F44">
        <v>9780</v>
      </c>
      <c r="G44">
        <v>1477.2330000000002</v>
      </c>
      <c r="H44">
        <v>11257.233</v>
      </c>
      <c r="J44">
        <v>184773</v>
      </c>
      <c r="K44">
        <f t="shared" si="9"/>
        <v>184.773</v>
      </c>
      <c r="M44">
        <f t="shared" si="8"/>
        <v>482.25752999999997</v>
      </c>
      <c r="N44">
        <f t="shared" si="8"/>
        <v>56.725310999999998</v>
      </c>
      <c r="O44">
        <f t="shared" si="8"/>
        <v>538.98284100000001</v>
      </c>
      <c r="P44">
        <f t="shared" si="8"/>
        <v>1268.0970990000001</v>
      </c>
      <c r="Q44">
        <f t="shared" si="8"/>
        <v>1807.0799400000001</v>
      </c>
      <c r="R44">
        <f t="shared" si="8"/>
        <v>272.95277310900002</v>
      </c>
      <c r="S44">
        <f t="shared" si="8"/>
        <v>2080.0327131089998</v>
      </c>
      <c r="T44" s="1">
        <v>9021.9913380968192</v>
      </c>
      <c r="V44">
        <v>3.13</v>
      </c>
      <c r="W44">
        <v>16.939704394040252</v>
      </c>
      <c r="X44">
        <v>16939.704394040251</v>
      </c>
      <c r="Y44">
        <v>48827.433326821658</v>
      </c>
      <c r="Z44">
        <v>9021991338.0968189</v>
      </c>
      <c r="AA44">
        <f t="shared" si="10"/>
        <v>9021.9913380968192</v>
      </c>
      <c r="AB44">
        <f t="shared" si="11"/>
        <v>48.827433326821662</v>
      </c>
    </row>
    <row r="45" spans="1:28" x14ac:dyDescent="0.3">
      <c r="A45">
        <v>221</v>
      </c>
      <c r="B45">
        <v>1960</v>
      </c>
      <c r="C45">
        <v>3450</v>
      </c>
      <c r="D45">
        <v>5410</v>
      </c>
      <c r="E45">
        <v>5290</v>
      </c>
      <c r="F45">
        <v>10700</v>
      </c>
      <c r="G45">
        <v>1117.2338999999999</v>
      </c>
      <c r="H45">
        <v>11817.233899999999</v>
      </c>
      <c r="J45">
        <v>201960</v>
      </c>
      <c r="K45">
        <f t="shared" si="9"/>
        <v>201.96</v>
      </c>
      <c r="M45">
        <f t="shared" si="8"/>
        <v>395.84160000000003</v>
      </c>
      <c r="N45">
        <f t="shared" si="8"/>
        <v>696.76199999999994</v>
      </c>
      <c r="O45">
        <f t="shared" si="8"/>
        <v>1092.6035999999999</v>
      </c>
      <c r="P45">
        <f t="shared" si="8"/>
        <v>1068.3684000000001</v>
      </c>
      <c r="Q45">
        <f t="shared" si="8"/>
        <v>2160.9720000000002</v>
      </c>
      <c r="R45">
        <f t="shared" si="8"/>
        <v>225.63655844399997</v>
      </c>
      <c r="S45">
        <f t="shared" si="8"/>
        <v>2386.6085584439998</v>
      </c>
      <c r="T45" s="1">
        <v>12991.188434684902</v>
      </c>
      <c r="V45">
        <v>3.13</v>
      </c>
      <c r="W45">
        <v>15.498118439294911</v>
      </c>
      <c r="X45">
        <v>15498.118439294911</v>
      </c>
      <c r="Y45">
        <v>64325.551766116565</v>
      </c>
      <c r="Z45">
        <v>12991188434.684902</v>
      </c>
      <c r="AA45">
        <f t="shared" si="10"/>
        <v>12991.188434684902</v>
      </c>
      <c r="AB45">
        <f t="shared" si="11"/>
        <v>64.325551766116561</v>
      </c>
    </row>
    <row r="46" spans="1:28" x14ac:dyDescent="0.3">
      <c r="A46">
        <v>228</v>
      </c>
      <c r="B46">
        <v>207</v>
      </c>
      <c r="C46">
        <v>7410</v>
      </c>
      <c r="D46">
        <v>7617</v>
      </c>
      <c r="E46">
        <v>5933</v>
      </c>
      <c r="F46">
        <v>13550</v>
      </c>
      <c r="G46">
        <v>1170.9143999999999</v>
      </c>
      <c r="H46">
        <v>14720.9144</v>
      </c>
      <c r="J46">
        <v>166273</v>
      </c>
      <c r="K46">
        <f t="shared" si="9"/>
        <v>166.273</v>
      </c>
      <c r="M46">
        <f t="shared" si="8"/>
        <v>34.418511000000002</v>
      </c>
      <c r="N46">
        <f t="shared" si="8"/>
        <v>1232.08293</v>
      </c>
      <c r="O46">
        <f t="shared" si="8"/>
        <v>1266.5014410000001</v>
      </c>
      <c r="P46">
        <f t="shared" si="8"/>
        <v>986.49770899999999</v>
      </c>
      <c r="Q46">
        <f t="shared" si="8"/>
        <v>2252.9991500000001</v>
      </c>
      <c r="R46">
        <f t="shared" si="8"/>
        <v>194.69145003119999</v>
      </c>
      <c r="S46">
        <f t="shared" si="8"/>
        <v>2447.6906000312001</v>
      </c>
      <c r="T46" s="1">
        <v>13825.602468807501</v>
      </c>
      <c r="V46">
        <v>3.13</v>
      </c>
      <c r="W46">
        <v>18.824463382509485</v>
      </c>
      <c r="X46">
        <v>18824.463382509486</v>
      </c>
      <c r="Y46">
        <v>83150.015148626058</v>
      </c>
      <c r="Z46">
        <v>13825602468.807501</v>
      </c>
      <c r="AA46">
        <f t="shared" si="10"/>
        <v>13825.602468807501</v>
      </c>
      <c r="AB46">
        <f t="shared" si="11"/>
        <v>83.150015148626068</v>
      </c>
    </row>
    <row r="47" spans="1:28" x14ac:dyDescent="0.3">
      <c r="A47">
        <v>238</v>
      </c>
      <c r="B47">
        <v>3780</v>
      </c>
      <c r="C47">
        <v>160</v>
      </c>
      <c r="D47">
        <v>3940</v>
      </c>
      <c r="E47">
        <v>8060</v>
      </c>
      <c r="F47">
        <v>12000</v>
      </c>
      <c r="G47">
        <v>2091.8407499999998</v>
      </c>
      <c r="H47">
        <v>14091.840749999999</v>
      </c>
      <c r="J47">
        <v>204273</v>
      </c>
      <c r="K47">
        <f t="shared" si="9"/>
        <v>204.273</v>
      </c>
      <c r="M47">
        <f t="shared" si="8"/>
        <v>772.15193999999997</v>
      </c>
      <c r="N47">
        <f t="shared" si="8"/>
        <v>32.683680000000003</v>
      </c>
      <c r="O47">
        <f t="shared" si="8"/>
        <v>804.83561999999995</v>
      </c>
      <c r="P47">
        <f t="shared" si="8"/>
        <v>1646.44038</v>
      </c>
      <c r="Q47">
        <f t="shared" si="8"/>
        <v>2451.2759999999998</v>
      </c>
      <c r="R47">
        <f t="shared" si="8"/>
        <v>427.30658552475001</v>
      </c>
      <c r="S47">
        <f t="shared" si="8"/>
        <v>2878.5825855247499</v>
      </c>
      <c r="T47" s="1">
        <v>20115.303044455293</v>
      </c>
      <c r="V47">
        <v>3.13</v>
      </c>
      <c r="W47">
        <v>15.322631968003604</v>
      </c>
      <c r="X47">
        <v>15322.631968003603</v>
      </c>
      <c r="Y47">
        <v>98472.647116629669</v>
      </c>
      <c r="Z47">
        <v>20115303044.455292</v>
      </c>
      <c r="AA47">
        <f t="shared" si="10"/>
        <v>20115.303044455293</v>
      </c>
      <c r="AB47">
        <f t="shared" si="11"/>
        <v>98.472647116629673</v>
      </c>
    </row>
    <row r="48" spans="1:28" x14ac:dyDescent="0.3">
      <c r="A48">
        <v>245</v>
      </c>
      <c r="B48">
        <v>4950</v>
      </c>
      <c r="C48">
        <v>769</v>
      </c>
      <c r="D48">
        <v>5719</v>
      </c>
      <c r="E48">
        <v>6631</v>
      </c>
      <c r="F48">
        <v>12350</v>
      </c>
      <c r="J48" s="2"/>
      <c r="K48" s="2"/>
      <c r="V48">
        <v>0</v>
      </c>
      <c r="W48">
        <v>0</v>
      </c>
      <c r="X48">
        <v>0</v>
      </c>
    </row>
    <row r="50" spans="1:19" x14ac:dyDescent="0.3">
      <c r="A50" t="s">
        <v>31</v>
      </c>
      <c r="B50" t="s">
        <v>1</v>
      </c>
      <c r="C50" s="3"/>
      <c r="D50" s="3"/>
      <c r="E50" s="3"/>
      <c r="F50" s="3"/>
      <c r="G50" s="3"/>
      <c r="H50" s="3"/>
      <c r="I50" s="3"/>
      <c r="J50" s="3"/>
      <c r="K50" s="3"/>
    </row>
    <row r="51" spans="1:19" x14ac:dyDescent="0.3">
      <c r="A51" t="s">
        <v>3</v>
      </c>
      <c r="B51" t="s">
        <v>4</v>
      </c>
      <c r="C51" t="s">
        <v>5</v>
      </c>
      <c r="D51" t="s">
        <v>6</v>
      </c>
      <c r="E51" t="s">
        <v>7</v>
      </c>
      <c r="F51" t="s">
        <v>8</v>
      </c>
      <c r="G51" t="s">
        <v>9</v>
      </c>
      <c r="H51" t="s">
        <v>10</v>
      </c>
      <c r="J51" t="s">
        <v>11</v>
      </c>
      <c r="K51" t="s">
        <v>12</v>
      </c>
      <c r="M51" t="s">
        <v>13</v>
      </c>
      <c r="N51" t="s">
        <v>14</v>
      </c>
      <c r="O51" t="s">
        <v>15</v>
      </c>
      <c r="P51" t="s">
        <v>16</v>
      </c>
      <c r="Q51" t="s">
        <v>17</v>
      </c>
      <c r="R51" t="s">
        <v>18</v>
      </c>
      <c r="S51" t="s">
        <v>19</v>
      </c>
    </row>
    <row r="52" spans="1:19" x14ac:dyDescent="0.3">
      <c r="A52">
        <v>152</v>
      </c>
      <c r="B52">
        <v>539</v>
      </c>
      <c r="C52">
        <v>513</v>
      </c>
      <c r="D52">
        <f>B52+C52</f>
        <v>1052</v>
      </c>
      <c r="E52">
        <f>F52-D52</f>
        <v>2568</v>
      </c>
      <c r="F52">
        <v>3620</v>
      </c>
      <c r="G52">
        <v>627</v>
      </c>
      <c r="H52" s="1">
        <f t="shared" ref="H52:H63" si="12">F52+G52</f>
        <v>4247</v>
      </c>
      <c r="J52">
        <v>458426</v>
      </c>
      <c r="K52">
        <f>J52/1000</f>
        <v>458.42599999999999</v>
      </c>
      <c r="M52">
        <f>(B52*$J52)/1000000</f>
        <v>247.09161399999999</v>
      </c>
      <c r="N52">
        <f t="shared" ref="N52:S64" si="13">(C52*$J52)/1000000</f>
        <v>235.172538</v>
      </c>
      <c r="O52">
        <f t="shared" si="13"/>
        <v>482.26415200000002</v>
      </c>
      <c r="P52">
        <f t="shared" si="13"/>
        <v>1177.2379679999999</v>
      </c>
      <c r="Q52">
        <f t="shared" si="13"/>
        <v>1659.5021200000001</v>
      </c>
      <c r="R52">
        <f t="shared" si="13"/>
        <v>287.43310200000002</v>
      </c>
      <c r="S52">
        <f t="shared" si="13"/>
        <v>1946.9352220000001</v>
      </c>
    </row>
    <row r="53" spans="1:19" x14ac:dyDescent="0.3">
      <c r="A53">
        <v>165</v>
      </c>
      <c r="B53">
        <v>2820</v>
      </c>
      <c r="C53">
        <v>207</v>
      </c>
      <c r="D53">
        <f t="shared" ref="D53:D64" si="14">B53+C53</f>
        <v>3027</v>
      </c>
      <c r="E53">
        <f t="shared" ref="E53:E64" si="15">F53-D53</f>
        <v>2553</v>
      </c>
      <c r="F53">
        <v>5580</v>
      </c>
      <c r="G53">
        <v>0.3</v>
      </c>
      <c r="H53" s="1">
        <f t="shared" si="12"/>
        <v>5580.3</v>
      </c>
      <c r="J53">
        <v>448214</v>
      </c>
      <c r="K53">
        <f t="shared" ref="K53:K64" si="16">J53/1000</f>
        <v>448.214</v>
      </c>
      <c r="M53">
        <f t="shared" ref="M53:M64" si="17">(B53*$J53)/1000000</f>
        <v>1263.9634799999999</v>
      </c>
      <c r="N53">
        <f t="shared" si="13"/>
        <v>92.780298000000002</v>
      </c>
      <c r="O53">
        <f t="shared" si="13"/>
        <v>1356.743778</v>
      </c>
      <c r="P53">
        <f t="shared" si="13"/>
        <v>1144.290342</v>
      </c>
      <c r="Q53">
        <f t="shared" si="13"/>
        <v>2501.0341199999998</v>
      </c>
      <c r="R53">
        <f t="shared" si="13"/>
        <v>0.13446419999999998</v>
      </c>
      <c r="S53">
        <f t="shared" si="13"/>
        <v>2501.1685842000002</v>
      </c>
    </row>
    <row r="54" spans="1:19" x14ac:dyDescent="0.3">
      <c r="A54">
        <v>172</v>
      </c>
      <c r="B54">
        <v>2280</v>
      </c>
      <c r="C54">
        <v>288</v>
      </c>
      <c r="D54">
        <f t="shared" si="14"/>
        <v>2568</v>
      </c>
      <c r="E54">
        <f t="shared" si="15"/>
        <v>4192</v>
      </c>
      <c r="F54">
        <v>6760</v>
      </c>
      <c r="G54" s="1">
        <v>19.093950000000003</v>
      </c>
      <c r="H54" s="1">
        <f t="shared" si="12"/>
        <v>6779.0939500000004</v>
      </c>
      <c r="I54" s="1"/>
      <c r="J54">
        <v>438002</v>
      </c>
      <c r="K54">
        <f t="shared" si="16"/>
        <v>438.00200000000001</v>
      </c>
      <c r="M54">
        <f t="shared" si="17"/>
        <v>998.64455999999996</v>
      </c>
      <c r="N54">
        <f t="shared" si="13"/>
        <v>126.144576</v>
      </c>
      <c r="O54">
        <f t="shared" si="13"/>
        <v>1124.7891360000001</v>
      </c>
      <c r="P54">
        <f t="shared" si="13"/>
        <v>1836.104384</v>
      </c>
      <c r="Q54">
        <f t="shared" si="13"/>
        <v>2960.8935200000001</v>
      </c>
      <c r="R54">
        <f t="shared" si="13"/>
        <v>8.3631882879000017</v>
      </c>
      <c r="S54">
        <f t="shared" si="13"/>
        <v>2969.2567082879</v>
      </c>
    </row>
    <row r="55" spans="1:19" x14ac:dyDescent="0.3">
      <c r="A55">
        <v>179</v>
      </c>
      <c r="B55">
        <v>1550</v>
      </c>
      <c r="C55">
        <v>500</v>
      </c>
      <c r="D55">
        <f t="shared" si="14"/>
        <v>2050</v>
      </c>
      <c r="E55">
        <f t="shared" si="15"/>
        <v>3270</v>
      </c>
      <c r="F55">
        <v>5320</v>
      </c>
      <c r="G55" s="1">
        <v>151</v>
      </c>
      <c r="H55" s="1">
        <f t="shared" si="12"/>
        <v>5471</v>
      </c>
      <c r="I55" s="1"/>
      <c r="J55">
        <v>429346</v>
      </c>
      <c r="K55">
        <f t="shared" si="16"/>
        <v>429.346</v>
      </c>
      <c r="M55">
        <f t="shared" si="17"/>
        <v>665.48630000000003</v>
      </c>
      <c r="N55">
        <f t="shared" si="13"/>
        <v>214.673</v>
      </c>
      <c r="O55">
        <f t="shared" si="13"/>
        <v>880.15930000000003</v>
      </c>
      <c r="P55">
        <f t="shared" si="13"/>
        <v>1403.9614200000001</v>
      </c>
      <c r="Q55">
        <f t="shared" si="13"/>
        <v>2284.1207199999999</v>
      </c>
      <c r="R55">
        <f t="shared" si="13"/>
        <v>64.831245999999993</v>
      </c>
      <c r="S55">
        <f t="shared" si="13"/>
        <v>2348.9519660000001</v>
      </c>
    </row>
    <row r="56" spans="1:19" x14ac:dyDescent="0.3">
      <c r="A56">
        <v>186</v>
      </c>
      <c r="B56">
        <v>1810</v>
      </c>
      <c r="C56">
        <v>141</v>
      </c>
      <c r="D56">
        <f t="shared" si="14"/>
        <v>1951</v>
      </c>
      <c r="E56">
        <f t="shared" si="15"/>
        <v>3159</v>
      </c>
      <c r="F56">
        <v>5110</v>
      </c>
      <c r="G56" s="1">
        <v>102.4686</v>
      </c>
      <c r="H56" s="1">
        <f t="shared" si="12"/>
        <v>5212.4686000000002</v>
      </c>
      <c r="I56" s="1"/>
      <c r="J56">
        <v>420690</v>
      </c>
      <c r="K56">
        <f t="shared" si="16"/>
        <v>420.69</v>
      </c>
      <c r="M56">
        <f t="shared" si="17"/>
        <v>761.44889999999998</v>
      </c>
      <c r="N56">
        <f t="shared" si="13"/>
        <v>59.31729</v>
      </c>
      <c r="O56">
        <f t="shared" si="13"/>
        <v>820.76619000000005</v>
      </c>
      <c r="P56">
        <f t="shared" si="13"/>
        <v>1328.9597100000001</v>
      </c>
      <c r="Q56">
        <f t="shared" si="13"/>
        <v>2149.7258999999999</v>
      </c>
      <c r="R56">
        <f t="shared" si="13"/>
        <v>43.107515333999999</v>
      </c>
      <c r="S56">
        <f t="shared" si="13"/>
        <v>2192.8334153340002</v>
      </c>
    </row>
    <row r="57" spans="1:19" x14ac:dyDescent="0.3">
      <c r="A57">
        <v>193</v>
      </c>
      <c r="B57">
        <v>2330</v>
      </c>
      <c r="C57">
        <v>72</v>
      </c>
      <c r="D57">
        <f t="shared" si="14"/>
        <v>2402</v>
      </c>
      <c r="E57">
        <f t="shared" si="15"/>
        <v>4218</v>
      </c>
      <c r="F57">
        <v>6620</v>
      </c>
      <c r="G57" s="1">
        <v>30.577499999999997</v>
      </c>
      <c r="H57" s="1">
        <f t="shared" si="12"/>
        <v>6650.5775000000003</v>
      </c>
      <c r="I57" s="1"/>
      <c r="J57">
        <v>406130</v>
      </c>
      <c r="K57">
        <f t="shared" si="16"/>
        <v>406.13</v>
      </c>
      <c r="M57">
        <f t="shared" si="17"/>
        <v>946.28290000000004</v>
      </c>
      <c r="N57">
        <f t="shared" si="13"/>
        <v>29.24136</v>
      </c>
      <c r="O57">
        <f t="shared" si="13"/>
        <v>975.52426000000003</v>
      </c>
      <c r="P57">
        <f t="shared" si="13"/>
        <v>1713.0563400000001</v>
      </c>
      <c r="Q57">
        <f t="shared" si="13"/>
        <v>2688.5805999999998</v>
      </c>
      <c r="R57">
        <f t="shared" si="13"/>
        <v>12.418440074999999</v>
      </c>
      <c r="S57">
        <f t="shared" si="13"/>
        <v>2700.9990400750003</v>
      </c>
    </row>
    <row r="58" spans="1:19" x14ac:dyDescent="0.3">
      <c r="A58">
        <v>200</v>
      </c>
      <c r="B58">
        <v>2240</v>
      </c>
      <c r="C58">
        <v>30</v>
      </c>
      <c r="D58">
        <f t="shared" si="14"/>
        <v>2270</v>
      </c>
      <c r="E58">
        <f t="shared" si="15"/>
        <v>3340</v>
      </c>
      <c r="F58">
        <v>5610</v>
      </c>
      <c r="G58" s="1">
        <v>90.373500000000007</v>
      </c>
      <c r="H58" s="1">
        <f t="shared" si="12"/>
        <v>5700.3734999999997</v>
      </c>
      <c r="I58" s="1"/>
      <c r="J58">
        <v>395871</v>
      </c>
      <c r="K58">
        <f t="shared" si="16"/>
        <v>395.87099999999998</v>
      </c>
      <c r="M58">
        <f t="shared" si="17"/>
        <v>886.75103999999999</v>
      </c>
      <c r="N58">
        <f t="shared" si="13"/>
        <v>11.87613</v>
      </c>
      <c r="O58">
        <f t="shared" si="13"/>
        <v>898.62716999999998</v>
      </c>
      <c r="P58">
        <f t="shared" si="13"/>
        <v>1322.2091399999999</v>
      </c>
      <c r="Q58">
        <f t="shared" si="13"/>
        <v>2220.8363100000001</v>
      </c>
      <c r="R58">
        <f t="shared" si="13"/>
        <v>35.776247818500003</v>
      </c>
      <c r="S58">
        <f t="shared" si="13"/>
        <v>2256.6125578185001</v>
      </c>
    </row>
    <row r="59" spans="1:19" x14ac:dyDescent="0.3">
      <c r="A59">
        <v>207</v>
      </c>
      <c r="B59">
        <v>810</v>
      </c>
      <c r="C59">
        <v>60</v>
      </c>
      <c r="D59">
        <f t="shared" si="14"/>
        <v>870</v>
      </c>
      <c r="E59">
        <f t="shared" si="15"/>
        <v>4080</v>
      </c>
      <c r="F59">
        <v>4950</v>
      </c>
      <c r="G59" s="1">
        <v>146.6361</v>
      </c>
      <c r="H59" s="1">
        <f t="shared" si="12"/>
        <v>5096.6360999999997</v>
      </c>
      <c r="I59" s="1"/>
      <c r="J59">
        <v>379610</v>
      </c>
      <c r="K59">
        <f t="shared" si="16"/>
        <v>379.61</v>
      </c>
      <c r="M59">
        <f t="shared" si="17"/>
        <v>307.48410000000001</v>
      </c>
      <c r="N59">
        <f t="shared" si="13"/>
        <v>22.776599999999998</v>
      </c>
      <c r="O59">
        <f t="shared" si="13"/>
        <v>330.26069999999999</v>
      </c>
      <c r="P59">
        <f t="shared" si="13"/>
        <v>1548.8088</v>
      </c>
      <c r="Q59">
        <f t="shared" si="13"/>
        <v>1879.0695000000001</v>
      </c>
      <c r="R59">
        <f t="shared" si="13"/>
        <v>55.664529920999996</v>
      </c>
      <c r="S59">
        <f t="shared" si="13"/>
        <v>1934.734029921</v>
      </c>
    </row>
    <row r="60" spans="1:19" x14ac:dyDescent="0.3">
      <c r="A60">
        <v>215</v>
      </c>
      <c r="B60">
        <v>1390</v>
      </c>
      <c r="C60">
        <v>64</v>
      </c>
      <c r="D60">
        <f t="shared" si="14"/>
        <v>1454</v>
      </c>
      <c r="E60">
        <f t="shared" si="15"/>
        <v>3026</v>
      </c>
      <c r="F60">
        <v>4480</v>
      </c>
      <c r="G60" s="1">
        <v>134.40509999999998</v>
      </c>
      <c r="H60" s="1">
        <f t="shared" si="12"/>
        <v>4614.4050999999999</v>
      </c>
      <c r="I60" s="1"/>
      <c r="J60">
        <v>367622</v>
      </c>
      <c r="K60">
        <f t="shared" si="16"/>
        <v>367.62200000000001</v>
      </c>
      <c r="M60">
        <f t="shared" si="17"/>
        <v>510.99457999999998</v>
      </c>
      <c r="N60">
        <f t="shared" si="13"/>
        <v>23.527808</v>
      </c>
      <c r="O60">
        <f t="shared" si="13"/>
        <v>534.52238799999998</v>
      </c>
      <c r="P60">
        <f t="shared" si="13"/>
        <v>1112.424172</v>
      </c>
      <c r="Q60">
        <f t="shared" si="13"/>
        <v>1646.9465600000001</v>
      </c>
      <c r="R60">
        <f t="shared" si="13"/>
        <v>49.410271672199997</v>
      </c>
      <c r="S60">
        <f t="shared" si="13"/>
        <v>1696.3568316721999</v>
      </c>
    </row>
    <row r="61" spans="1:19" x14ac:dyDescent="0.3">
      <c r="A61">
        <v>221</v>
      </c>
      <c r="B61">
        <v>520</v>
      </c>
      <c r="C61">
        <v>169</v>
      </c>
      <c r="D61">
        <f t="shared" si="14"/>
        <v>689</v>
      </c>
      <c r="E61">
        <f t="shared" si="15"/>
        <v>3011</v>
      </c>
      <c r="F61">
        <v>3700</v>
      </c>
      <c r="G61" s="1">
        <v>71.27955</v>
      </c>
      <c r="H61" s="1">
        <f t="shared" si="12"/>
        <v>3771.2795500000002</v>
      </c>
      <c r="I61" s="1"/>
      <c r="J61">
        <v>367622</v>
      </c>
      <c r="K61">
        <f t="shared" si="16"/>
        <v>367.62200000000001</v>
      </c>
      <c r="M61">
        <f t="shared" si="17"/>
        <v>191.16344000000001</v>
      </c>
      <c r="N61">
        <f t="shared" si="13"/>
        <v>62.128118000000001</v>
      </c>
      <c r="O61">
        <f t="shared" si="13"/>
        <v>253.29155800000001</v>
      </c>
      <c r="P61">
        <f t="shared" si="13"/>
        <v>1106.909842</v>
      </c>
      <c r="Q61">
        <f t="shared" si="13"/>
        <v>1360.2013999999999</v>
      </c>
      <c r="R61">
        <f t="shared" si="13"/>
        <v>26.203930730099998</v>
      </c>
      <c r="S61">
        <f t="shared" si="13"/>
        <v>1386.4053307301001</v>
      </c>
    </row>
    <row r="62" spans="1:19" x14ac:dyDescent="0.3">
      <c r="A62">
        <v>228</v>
      </c>
      <c r="B62">
        <v>404</v>
      </c>
      <c r="C62">
        <v>288</v>
      </c>
      <c r="D62">
        <f t="shared" si="14"/>
        <v>692</v>
      </c>
      <c r="E62">
        <f t="shared" si="15"/>
        <v>3068</v>
      </c>
      <c r="F62">
        <v>3760</v>
      </c>
      <c r="G62" s="1">
        <v>55.9908</v>
      </c>
      <c r="H62" s="1">
        <f t="shared" si="12"/>
        <v>3815.9908</v>
      </c>
      <c r="I62" s="1"/>
      <c r="J62">
        <v>356690</v>
      </c>
      <c r="K62">
        <f t="shared" si="16"/>
        <v>356.69</v>
      </c>
      <c r="M62">
        <f t="shared" si="17"/>
        <v>144.10275999999999</v>
      </c>
      <c r="N62">
        <f t="shared" si="13"/>
        <v>102.72672</v>
      </c>
      <c r="O62">
        <f t="shared" si="13"/>
        <v>246.82947999999999</v>
      </c>
      <c r="P62">
        <f t="shared" si="13"/>
        <v>1094.32492</v>
      </c>
      <c r="Q62">
        <f t="shared" si="13"/>
        <v>1341.1543999999999</v>
      </c>
      <c r="R62">
        <f t="shared" si="13"/>
        <v>19.971358452</v>
      </c>
      <c r="S62">
        <f t="shared" si="13"/>
        <v>1361.1257584519999</v>
      </c>
    </row>
    <row r="63" spans="1:19" x14ac:dyDescent="0.3">
      <c r="A63">
        <v>238</v>
      </c>
      <c r="B63">
        <v>586</v>
      </c>
      <c r="C63">
        <v>36</v>
      </c>
      <c r="D63">
        <f t="shared" si="14"/>
        <v>622</v>
      </c>
      <c r="E63">
        <f t="shared" si="15"/>
        <v>4228</v>
      </c>
      <c r="F63">
        <v>4850</v>
      </c>
      <c r="G63" s="1">
        <v>77.802749999999989</v>
      </c>
      <c r="H63" s="1">
        <f t="shared" si="12"/>
        <v>4927.8027499999998</v>
      </c>
      <c r="I63" s="1"/>
      <c r="J63">
        <v>338745</v>
      </c>
      <c r="K63">
        <f t="shared" si="16"/>
        <v>338.745</v>
      </c>
      <c r="M63">
        <f t="shared" si="17"/>
        <v>198.50457</v>
      </c>
      <c r="N63">
        <f t="shared" si="13"/>
        <v>12.19482</v>
      </c>
      <c r="O63">
        <f t="shared" si="13"/>
        <v>210.69938999999999</v>
      </c>
      <c r="P63">
        <f t="shared" si="13"/>
        <v>1432.2138600000001</v>
      </c>
      <c r="Q63">
        <f t="shared" si="13"/>
        <v>1642.9132500000001</v>
      </c>
      <c r="R63">
        <f t="shared" si="13"/>
        <v>26.355292548749993</v>
      </c>
      <c r="S63">
        <f t="shared" si="13"/>
        <v>1669.26854254875</v>
      </c>
    </row>
    <row r="64" spans="1:19" x14ac:dyDescent="0.3">
      <c r="A64">
        <v>245</v>
      </c>
      <c r="B64">
        <v>347</v>
      </c>
      <c r="C64">
        <v>410</v>
      </c>
      <c r="D64">
        <f t="shared" si="14"/>
        <v>757</v>
      </c>
      <c r="E64">
        <f t="shared" si="15"/>
        <v>3163</v>
      </c>
      <c r="F64">
        <v>3920</v>
      </c>
      <c r="G64">
        <v>75</v>
      </c>
      <c r="H64">
        <v>3995</v>
      </c>
      <c r="J64">
        <v>364413</v>
      </c>
      <c r="K64">
        <f t="shared" si="16"/>
        <v>364.41300000000001</v>
      </c>
      <c r="M64">
        <f t="shared" si="17"/>
        <v>126.451311</v>
      </c>
      <c r="N64">
        <f t="shared" si="13"/>
        <v>149.40933000000001</v>
      </c>
      <c r="O64">
        <f t="shared" si="13"/>
        <v>275.86064099999999</v>
      </c>
      <c r="P64">
        <f t="shared" si="13"/>
        <v>1152.6383189999999</v>
      </c>
      <c r="Q64">
        <f t="shared" si="13"/>
        <v>1428.4989599999999</v>
      </c>
      <c r="R64">
        <f t="shared" si="13"/>
        <v>27.330974999999999</v>
      </c>
      <c r="S64">
        <f t="shared" si="13"/>
        <v>1455.829935</v>
      </c>
    </row>
    <row r="66" spans="1:19" x14ac:dyDescent="0.3">
      <c r="A66" t="s">
        <v>32</v>
      </c>
      <c r="B66" t="s">
        <v>1</v>
      </c>
    </row>
    <row r="67" spans="1:19" x14ac:dyDescent="0.3">
      <c r="A67" t="s">
        <v>3</v>
      </c>
      <c r="B67" t="s">
        <v>4</v>
      </c>
      <c r="C67" t="s">
        <v>5</v>
      </c>
      <c r="D67" t="s">
        <v>6</v>
      </c>
      <c r="E67" t="s">
        <v>7</v>
      </c>
      <c r="F67" t="s">
        <v>8</v>
      </c>
      <c r="G67" t="s">
        <v>9</v>
      </c>
      <c r="H67" t="s">
        <v>10</v>
      </c>
      <c r="J67" t="s">
        <v>11</v>
      </c>
      <c r="K67" t="s">
        <v>12</v>
      </c>
      <c r="M67" t="s">
        <v>13</v>
      </c>
      <c r="N67" t="s">
        <v>14</v>
      </c>
      <c r="O67" t="s">
        <v>15</v>
      </c>
      <c r="P67" t="s">
        <v>16</v>
      </c>
      <c r="Q67" t="s">
        <v>17</v>
      </c>
      <c r="R67" t="s">
        <v>18</v>
      </c>
      <c r="S67" t="s">
        <v>19</v>
      </c>
    </row>
    <row r="68" spans="1:19" x14ac:dyDescent="0.3">
      <c r="A68">
        <v>152</v>
      </c>
      <c r="B68">
        <v>46</v>
      </c>
      <c r="C68">
        <v>8</v>
      </c>
      <c r="D68">
        <v>54</v>
      </c>
      <c r="E68">
        <v>1766</v>
      </c>
      <c r="F68">
        <v>1820</v>
      </c>
      <c r="G68">
        <v>1467.3122999999998</v>
      </c>
      <c r="H68">
        <v>3287.3122999999996</v>
      </c>
      <c r="J68">
        <v>229850</v>
      </c>
      <c r="K68">
        <f>J68/1000</f>
        <v>229.85</v>
      </c>
      <c r="M68">
        <f>(B68*$J68)/1000000</f>
        <v>10.5731</v>
      </c>
      <c r="N68">
        <f t="shared" ref="N68:S79" si="18">(C68*$J68)/1000000</f>
        <v>1.8388</v>
      </c>
      <c r="O68">
        <f t="shared" si="18"/>
        <v>12.411899999999999</v>
      </c>
      <c r="P68">
        <f t="shared" si="18"/>
        <v>405.9151</v>
      </c>
      <c r="Q68">
        <f t="shared" si="18"/>
        <v>418.327</v>
      </c>
      <c r="R68">
        <f t="shared" si="18"/>
        <v>337.26173215499995</v>
      </c>
      <c r="S68">
        <f t="shared" si="18"/>
        <v>755.58873215499989</v>
      </c>
    </row>
    <row r="69" spans="1:19" x14ac:dyDescent="0.3">
      <c r="A69">
        <v>165</v>
      </c>
      <c r="B69">
        <v>937</v>
      </c>
      <c r="C69">
        <v>120</v>
      </c>
      <c r="D69">
        <v>1057</v>
      </c>
      <c r="E69">
        <v>2013</v>
      </c>
      <c r="F69">
        <v>3070</v>
      </c>
      <c r="G69">
        <v>13.725899999999999</v>
      </c>
      <c r="H69">
        <v>3083.7258999999999</v>
      </c>
      <c r="J69">
        <v>229850</v>
      </c>
      <c r="K69">
        <f t="shared" ref="K69:K79" si="19">J69/1000</f>
        <v>229.85</v>
      </c>
      <c r="M69">
        <f t="shared" ref="M69:M79" si="20">(B69*$J69)/1000000</f>
        <v>215.36945</v>
      </c>
      <c r="N69">
        <f t="shared" si="18"/>
        <v>27.582000000000001</v>
      </c>
      <c r="O69">
        <f t="shared" si="18"/>
        <v>242.95144999999999</v>
      </c>
      <c r="P69">
        <f t="shared" si="18"/>
        <v>462.68804999999998</v>
      </c>
      <c r="Q69">
        <f t="shared" si="18"/>
        <v>705.6395</v>
      </c>
      <c r="R69">
        <f t="shared" si="18"/>
        <v>3.1548981149999999</v>
      </c>
      <c r="S69">
        <f t="shared" si="18"/>
        <v>708.79439811500004</v>
      </c>
    </row>
    <row r="70" spans="1:19" x14ac:dyDescent="0.3">
      <c r="A70">
        <v>172</v>
      </c>
      <c r="B70">
        <v>118</v>
      </c>
      <c r="C70">
        <v>14</v>
      </c>
      <c r="D70">
        <v>132</v>
      </c>
      <c r="E70">
        <v>2038</v>
      </c>
      <c r="F70">
        <v>2170</v>
      </c>
      <c r="G70">
        <v>2.4461999999999997</v>
      </c>
      <c r="H70">
        <v>2172.4461999999999</v>
      </c>
      <c r="J70">
        <v>229850</v>
      </c>
      <c r="K70">
        <f t="shared" si="19"/>
        <v>229.85</v>
      </c>
      <c r="M70">
        <f t="shared" si="20"/>
        <v>27.122299999999999</v>
      </c>
      <c r="N70">
        <f t="shared" si="18"/>
        <v>3.2179000000000002</v>
      </c>
      <c r="O70">
        <f t="shared" si="18"/>
        <v>30.340199999999999</v>
      </c>
      <c r="P70">
        <f t="shared" si="18"/>
        <v>468.43430000000001</v>
      </c>
      <c r="Q70">
        <f t="shared" si="18"/>
        <v>498.77449999999999</v>
      </c>
      <c r="R70">
        <f t="shared" si="18"/>
        <v>0.56225906999999997</v>
      </c>
      <c r="S70">
        <f t="shared" si="18"/>
        <v>499.33675906999997</v>
      </c>
    </row>
    <row r="71" spans="1:19" x14ac:dyDescent="0.3">
      <c r="A71">
        <v>179</v>
      </c>
      <c r="B71">
        <v>125</v>
      </c>
      <c r="C71">
        <v>6</v>
      </c>
      <c r="D71">
        <v>131</v>
      </c>
      <c r="E71">
        <v>2149</v>
      </c>
      <c r="F71">
        <v>2280</v>
      </c>
      <c r="G71">
        <v>12.973410641167215</v>
      </c>
      <c r="H71">
        <v>2292.973410641167</v>
      </c>
      <c r="J71">
        <v>204658</v>
      </c>
      <c r="K71">
        <f t="shared" si="19"/>
        <v>204.65799999999999</v>
      </c>
      <c r="M71">
        <f t="shared" si="20"/>
        <v>25.582249999999998</v>
      </c>
      <c r="N71">
        <f t="shared" si="18"/>
        <v>1.227948</v>
      </c>
      <c r="O71">
        <f t="shared" si="18"/>
        <v>26.810198</v>
      </c>
      <c r="P71">
        <f t="shared" si="18"/>
        <v>439.81004200000001</v>
      </c>
      <c r="Q71">
        <f t="shared" si="18"/>
        <v>466.62024000000002</v>
      </c>
      <c r="R71">
        <f t="shared" si="18"/>
        <v>2.655112275</v>
      </c>
      <c r="S71">
        <f t="shared" si="18"/>
        <v>469.27535227499999</v>
      </c>
    </row>
    <row r="72" spans="1:19" x14ac:dyDescent="0.3">
      <c r="A72">
        <v>186</v>
      </c>
      <c r="B72">
        <v>130</v>
      </c>
      <c r="C72">
        <v>7</v>
      </c>
      <c r="D72">
        <v>137</v>
      </c>
      <c r="E72">
        <v>2433</v>
      </c>
      <c r="F72">
        <v>2570</v>
      </c>
      <c r="G72">
        <v>223.32121399150813</v>
      </c>
      <c r="H72">
        <v>2793.3212139915081</v>
      </c>
      <c r="J72">
        <v>179466</v>
      </c>
      <c r="K72">
        <f t="shared" si="19"/>
        <v>179.46600000000001</v>
      </c>
      <c r="M72">
        <f t="shared" si="20"/>
        <v>23.330580000000001</v>
      </c>
      <c r="N72">
        <f t="shared" si="18"/>
        <v>1.256262</v>
      </c>
      <c r="O72">
        <f t="shared" si="18"/>
        <v>24.586842000000001</v>
      </c>
      <c r="P72">
        <f t="shared" si="18"/>
        <v>436.64077800000001</v>
      </c>
      <c r="Q72">
        <f t="shared" si="18"/>
        <v>461.22762</v>
      </c>
      <c r="R72">
        <f t="shared" si="18"/>
        <v>40.0785649902</v>
      </c>
      <c r="S72">
        <f t="shared" si="18"/>
        <v>501.30618499019999</v>
      </c>
    </row>
    <row r="73" spans="1:19" x14ac:dyDescent="0.3">
      <c r="A73">
        <v>193</v>
      </c>
      <c r="B73">
        <v>92</v>
      </c>
      <c r="C73">
        <v>10</v>
      </c>
      <c r="D73">
        <v>102</v>
      </c>
      <c r="E73">
        <v>2678</v>
      </c>
      <c r="F73">
        <v>2780</v>
      </c>
      <c r="G73">
        <v>373.61536486795558</v>
      </c>
      <c r="H73">
        <v>3153.6153648679556</v>
      </c>
      <c r="J73">
        <v>150404</v>
      </c>
      <c r="K73">
        <f t="shared" si="19"/>
        <v>150.404</v>
      </c>
      <c r="M73">
        <f t="shared" si="20"/>
        <v>13.837168</v>
      </c>
      <c r="N73">
        <f t="shared" si="18"/>
        <v>1.50404</v>
      </c>
      <c r="O73">
        <f t="shared" si="18"/>
        <v>15.341208</v>
      </c>
      <c r="P73">
        <f t="shared" si="18"/>
        <v>402.78191199999998</v>
      </c>
      <c r="Q73">
        <f t="shared" si="18"/>
        <v>418.12311999999997</v>
      </c>
      <c r="R73">
        <f t="shared" si="18"/>
        <v>56.19324533759999</v>
      </c>
      <c r="S73">
        <f t="shared" si="18"/>
        <v>474.31636533760002</v>
      </c>
    </row>
    <row r="74" spans="1:19" x14ac:dyDescent="0.3">
      <c r="A74">
        <v>200</v>
      </c>
      <c r="B74">
        <v>322</v>
      </c>
      <c r="C74">
        <v>15</v>
      </c>
      <c r="D74">
        <v>337</v>
      </c>
      <c r="E74">
        <v>3033</v>
      </c>
      <c r="F74">
        <v>3370</v>
      </c>
      <c r="G74">
        <v>532.81446267450951</v>
      </c>
      <c r="H74">
        <v>3902.8144626745097</v>
      </c>
      <c r="J74">
        <v>132944</v>
      </c>
      <c r="K74">
        <f t="shared" si="19"/>
        <v>132.94399999999999</v>
      </c>
      <c r="M74">
        <f t="shared" si="20"/>
        <v>42.807968000000002</v>
      </c>
      <c r="N74">
        <f t="shared" si="18"/>
        <v>1.9941599999999999</v>
      </c>
      <c r="O74">
        <f t="shared" si="18"/>
        <v>44.802128000000003</v>
      </c>
      <c r="P74">
        <f t="shared" si="18"/>
        <v>403.21915200000001</v>
      </c>
      <c r="Q74">
        <f t="shared" si="18"/>
        <v>448.02127999999999</v>
      </c>
      <c r="R74">
        <f t="shared" si="18"/>
        <v>70.834485925799996</v>
      </c>
      <c r="S74">
        <f t="shared" si="18"/>
        <v>518.85576592580003</v>
      </c>
    </row>
    <row r="75" spans="1:19" x14ac:dyDescent="0.3">
      <c r="A75">
        <v>207</v>
      </c>
      <c r="B75">
        <v>161</v>
      </c>
      <c r="C75">
        <v>11</v>
      </c>
      <c r="D75">
        <v>172</v>
      </c>
      <c r="E75">
        <v>3218</v>
      </c>
      <c r="F75">
        <v>3390</v>
      </c>
      <c r="G75">
        <v>414.75168927610451</v>
      </c>
      <c r="H75">
        <v>3804.7516892761046</v>
      </c>
      <c r="J75">
        <v>99973</v>
      </c>
      <c r="K75">
        <f t="shared" si="19"/>
        <v>99.972999999999999</v>
      </c>
      <c r="M75">
        <f t="shared" si="20"/>
        <v>16.095652999999999</v>
      </c>
      <c r="N75">
        <f t="shared" si="18"/>
        <v>1.0997030000000001</v>
      </c>
      <c r="O75">
        <f t="shared" si="18"/>
        <v>17.195356</v>
      </c>
      <c r="P75">
        <f t="shared" si="18"/>
        <v>321.71311400000002</v>
      </c>
      <c r="Q75">
        <f t="shared" si="18"/>
        <v>338.90847000000002</v>
      </c>
      <c r="R75">
        <f t="shared" si="18"/>
        <v>41.463970631999999</v>
      </c>
      <c r="S75">
        <f t="shared" si="18"/>
        <v>380.37244063200001</v>
      </c>
    </row>
    <row r="76" spans="1:19" x14ac:dyDescent="0.3">
      <c r="A76">
        <v>215</v>
      </c>
      <c r="B76">
        <v>61</v>
      </c>
      <c r="C76">
        <v>112</v>
      </c>
      <c r="D76">
        <v>173</v>
      </c>
      <c r="E76">
        <v>3587</v>
      </c>
      <c r="F76">
        <v>3760</v>
      </c>
      <c r="G76">
        <v>1113.2622527552062</v>
      </c>
      <c r="H76">
        <v>4873.2622527552066</v>
      </c>
      <c r="J76">
        <v>87253</v>
      </c>
      <c r="K76">
        <f t="shared" si="19"/>
        <v>87.253</v>
      </c>
      <c r="M76">
        <f t="shared" si="20"/>
        <v>5.3224330000000002</v>
      </c>
      <c r="N76">
        <f t="shared" si="18"/>
        <v>9.7723359999999992</v>
      </c>
      <c r="O76">
        <f t="shared" si="18"/>
        <v>15.094768999999999</v>
      </c>
      <c r="P76">
        <f t="shared" si="18"/>
        <v>312.97651100000002</v>
      </c>
      <c r="Q76">
        <f t="shared" si="18"/>
        <v>328.07128</v>
      </c>
      <c r="R76">
        <f t="shared" si="18"/>
        <v>97.13547133965001</v>
      </c>
      <c r="S76">
        <f t="shared" si="18"/>
        <v>425.20675133965005</v>
      </c>
    </row>
    <row r="77" spans="1:19" x14ac:dyDescent="0.3">
      <c r="A77">
        <v>221</v>
      </c>
      <c r="B77">
        <v>254</v>
      </c>
      <c r="C77">
        <v>71</v>
      </c>
      <c r="D77">
        <v>325</v>
      </c>
      <c r="E77">
        <v>4005</v>
      </c>
      <c r="F77">
        <v>4330</v>
      </c>
      <c r="G77">
        <v>674.14082639983928</v>
      </c>
      <c r="H77">
        <v>5004.1408263998392</v>
      </c>
      <c r="J77">
        <v>82063</v>
      </c>
      <c r="K77">
        <f t="shared" si="19"/>
        <v>82.063000000000002</v>
      </c>
      <c r="M77">
        <f t="shared" si="20"/>
        <v>20.844002</v>
      </c>
      <c r="N77">
        <f t="shared" si="18"/>
        <v>5.826473</v>
      </c>
      <c r="O77">
        <f t="shared" si="18"/>
        <v>26.670475</v>
      </c>
      <c r="P77">
        <f t="shared" si="18"/>
        <v>328.66231499999998</v>
      </c>
      <c r="Q77">
        <f t="shared" si="18"/>
        <v>355.33278999999999</v>
      </c>
      <c r="R77">
        <f t="shared" si="18"/>
        <v>55.322018636850011</v>
      </c>
      <c r="S77">
        <f t="shared" si="18"/>
        <v>410.65480863685002</v>
      </c>
    </row>
    <row r="78" spans="1:19" x14ac:dyDescent="0.3">
      <c r="A78">
        <v>228</v>
      </c>
      <c r="B78">
        <v>274</v>
      </c>
      <c r="C78">
        <v>14</v>
      </c>
      <c r="D78">
        <v>288</v>
      </c>
      <c r="E78">
        <v>4062</v>
      </c>
      <c r="F78">
        <v>4350</v>
      </c>
      <c r="G78">
        <v>437.25118559471372</v>
      </c>
      <c r="H78">
        <v>4787.2511855947141</v>
      </c>
      <c r="J78">
        <v>53345</v>
      </c>
      <c r="K78">
        <f t="shared" si="19"/>
        <v>53.344999999999999</v>
      </c>
      <c r="M78">
        <f t="shared" si="20"/>
        <v>14.616529999999999</v>
      </c>
      <c r="N78">
        <f t="shared" si="18"/>
        <v>0.74682999999999999</v>
      </c>
      <c r="O78">
        <f t="shared" si="18"/>
        <v>15.36336</v>
      </c>
      <c r="P78">
        <f t="shared" si="18"/>
        <v>216.68738999999999</v>
      </c>
      <c r="Q78">
        <f t="shared" si="18"/>
        <v>232.05074999999999</v>
      </c>
      <c r="R78">
        <f t="shared" si="18"/>
        <v>23.325164495550002</v>
      </c>
      <c r="S78">
        <f t="shared" si="18"/>
        <v>255.37591449555003</v>
      </c>
    </row>
    <row r="79" spans="1:19" x14ac:dyDescent="0.3">
      <c r="A79">
        <v>238</v>
      </c>
      <c r="B79">
        <v>190</v>
      </c>
      <c r="C79">
        <v>32</v>
      </c>
      <c r="D79">
        <v>222</v>
      </c>
      <c r="E79">
        <v>3448</v>
      </c>
      <c r="F79">
        <v>3670</v>
      </c>
      <c r="G79">
        <v>202.18486970292412</v>
      </c>
      <c r="H79">
        <v>3872.1848697029241</v>
      </c>
      <c r="J79">
        <v>75065</v>
      </c>
      <c r="K79">
        <f t="shared" si="19"/>
        <v>75.064999999999998</v>
      </c>
      <c r="M79">
        <f t="shared" si="20"/>
        <v>14.26235</v>
      </c>
      <c r="N79">
        <f t="shared" si="18"/>
        <v>2.4020800000000002</v>
      </c>
      <c r="O79">
        <f t="shared" si="18"/>
        <v>16.664429999999999</v>
      </c>
      <c r="P79">
        <f t="shared" si="18"/>
        <v>258.82411999999999</v>
      </c>
      <c r="Q79">
        <f t="shared" si="18"/>
        <v>275.48854999999998</v>
      </c>
      <c r="R79">
        <f t="shared" si="18"/>
        <v>15.177007244249999</v>
      </c>
      <c r="S79">
        <f t="shared" si="18"/>
        <v>290.66555724425001</v>
      </c>
    </row>
    <row r="80" spans="1:19" x14ac:dyDescent="0.3">
      <c r="A80">
        <v>245</v>
      </c>
      <c r="B80">
        <v>212</v>
      </c>
      <c r="C80">
        <v>98</v>
      </c>
      <c r="D80">
        <v>310</v>
      </c>
      <c r="E80">
        <v>3700</v>
      </c>
      <c r="F80">
        <v>4010</v>
      </c>
    </row>
    <row r="82" spans="1:19" x14ac:dyDescent="0.3">
      <c r="A82" t="s">
        <v>30</v>
      </c>
      <c r="B82" t="s">
        <v>1</v>
      </c>
    </row>
    <row r="83" spans="1:19" x14ac:dyDescent="0.3">
      <c r="A83" t="s">
        <v>3</v>
      </c>
      <c r="B83" t="s">
        <v>4</v>
      </c>
      <c r="C83" t="s">
        <v>5</v>
      </c>
      <c r="D83" t="s">
        <v>6</v>
      </c>
      <c r="E83" t="s">
        <v>7</v>
      </c>
      <c r="F83" t="s">
        <v>8</v>
      </c>
      <c r="G83" t="s">
        <v>9</v>
      </c>
      <c r="H83" t="s">
        <v>10</v>
      </c>
      <c r="J83" t="s">
        <v>11</v>
      </c>
      <c r="K83" t="s">
        <v>12</v>
      </c>
      <c r="M83" t="s">
        <v>13</v>
      </c>
      <c r="N83" t="s">
        <v>14</v>
      </c>
      <c r="O83" t="s">
        <v>15</v>
      </c>
      <c r="P83" t="s">
        <v>16</v>
      </c>
      <c r="Q83" t="s">
        <v>17</v>
      </c>
      <c r="R83" t="s">
        <v>18</v>
      </c>
      <c r="S83" t="s">
        <v>19</v>
      </c>
    </row>
    <row r="84" spans="1:19" x14ac:dyDescent="0.3">
      <c r="A84">
        <v>152</v>
      </c>
      <c r="B84">
        <v>36</v>
      </c>
      <c r="C84">
        <v>13</v>
      </c>
      <c r="D84">
        <v>49</v>
      </c>
      <c r="E84">
        <v>991</v>
      </c>
      <c r="F84">
        <v>1040</v>
      </c>
      <c r="G84">
        <v>17</v>
      </c>
      <c r="H84">
        <v>1057</v>
      </c>
      <c r="J84">
        <v>225016</v>
      </c>
      <c r="K84">
        <f>J84/1000</f>
        <v>225.01599999999999</v>
      </c>
      <c r="M84">
        <f>(B84*$J84)/1000000</f>
        <v>8.1005760000000002</v>
      </c>
      <c r="N84">
        <f t="shared" ref="N84:S96" si="21">(C84*$J84)/1000000</f>
        <v>2.925208</v>
      </c>
      <c r="O84">
        <f t="shared" si="21"/>
        <v>11.025784</v>
      </c>
      <c r="P84">
        <f t="shared" si="21"/>
        <v>222.99085600000001</v>
      </c>
      <c r="Q84">
        <f t="shared" si="21"/>
        <v>234.01664</v>
      </c>
      <c r="R84">
        <f t="shared" si="21"/>
        <v>3.825272</v>
      </c>
      <c r="S84">
        <f t="shared" si="21"/>
        <v>237.84191200000001</v>
      </c>
    </row>
    <row r="85" spans="1:19" x14ac:dyDescent="0.3">
      <c r="A85">
        <v>165</v>
      </c>
      <c r="B85">
        <v>21</v>
      </c>
      <c r="C85">
        <v>5</v>
      </c>
      <c r="D85">
        <v>26</v>
      </c>
      <c r="E85">
        <v>1064</v>
      </c>
      <c r="F85">
        <v>1090</v>
      </c>
      <c r="G85">
        <v>6</v>
      </c>
      <c r="H85">
        <v>1096</v>
      </c>
      <c r="J85">
        <v>203612</v>
      </c>
      <c r="K85">
        <f t="shared" ref="K85:K96" si="22">J85/1000</f>
        <v>203.61199999999999</v>
      </c>
      <c r="M85">
        <f t="shared" ref="M85:M96" si="23">(B85*$J85)/1000000</f>
        <v>4.2758520000000004</v>
      </c>
      <c r="N85">
        <f t="shared" si="21"/>
        <v>1.01806</v>
      </c>
      <c r="O85">
        <f t="shared" si="21"/>
        <v>5.2939119999999997</v>
      </c>
      <c r="P85">
        <f t="shared" si="21"/>
        <v>216.643168</v>
      </c>
      <c r="Q85">
        <f t="shared" si="21"/>
        <v>221.93708000000001</v>
      </c>
      <c r="R85">
        <f t="shared" si="21"/>
        <v>1.2216720000000001</v>
      </c>
      <c r="S85">
        <f t="shared" si="21"/>
        <v>223.15875199999999</v>
      </c>
    </row>
    <row r="86" spans="1:19" x14ac:dyDescent="0.3">
      <c r="A86">
        <v>172</v>
      </c>
      <c r="B86">
        <v>14</v>
      </c>
      <c r="C86">
        <v>14</v>
      </c>
      <c r="D86">
        <v>28</v>
      </c>
      <c r="E86">
        <v>1062</v>
      </c>
      <c r="F86">
        <v>1090</v>
      </c>
      <c r="G86">
        <v>54.156149999999997</v>
      </c>
      <c r="H86">
        <v>1144.15615</v>
      </c>
      <c r="J86">
        <v>182209</v>
      </c>
      <c r="K86">
        <f t="shared" si="22"/>
        <v>182.209</v>
      </c>
      <c r="M86">
        <f t="shared" si="23"/>
        <v>2.550926</v>
      </c>
      <c r="N86">
        <f t="shared" si="21"/>
        <v>2.550926</v>
      </c>
      <c r="O86">
        <f t="shared" si="21"/>
        <v>5.1018520000000001</v>
      </c>
      <c r="P86">
        <f t="shared" si="21"/>
        <v>193.50595799999999</v>
      </c>
      <c r="Q86">
        <f t="shared" si="21"/>
        <v>198.60781</v>
      </c>
      <c r="R86">
        <f t="shared" si="21"/>
        <v>9.8677379353499983</v>
      </c>
      <c r="S86">
        <f t="shared" si="21"/>
        <v>208.47554793534999</v>
      </c>
    </row>
    <row r="87" spans="1:19" x14ac:dyDescent="0.3">
      <c r="A87">
        <v>179</v>
      </c>
      <c r="B87">
        <v>32</v>
      </c>
      <c r="C87">
        <v>2</v>
      </c>
      <c r="D87">
        <v>34</v>
      </c>
      <c r="E87">
        <v>1206</v>
      </c>
      <c r="F87">
        <v>1240</v>
      </c>
      <c r="G87">
        <v>9</v>
      </c>
      <c r="H87">
        <v>1249</v>
      </c>
      <c r="J87">
        <v>172343</v>
      </c>
      <c r="K87">
        <f t="shared" si="22"/>
        <v>172.34299999999999</v>
      </c>
      <c r="M87">
        <f t="shared" si="23"/>
        <v>5.5149759999999999</v>
      </c>
      <c r="N87">
        <f t="shared" si="21"/>
        <v>0.34468599999999999</v>
      </c>
      <c r="O87">
        <f t="shared" si="21"/>
        <v>5.8596620000000001</v>
      </c>
      <c r="P87">
        <f t="shared" si="21"/>
        <v>207.84565799999999</v>
      </c>
      <c r="Q87">
        <f t="shared" si="21"/>
        <v>213.70532</v>
      </c>
      <c r="R87">
        <f t="shared" si="21"/>
        <v>1.5510870000000001</v>
      </c>
      <c r="S87">
        <f t="shared" si="21"/>
        <v>215.256407</v>
      </c>
    </row>
    <row r="88" spans="1:19" x14ac:dyDescent="0.3">
      <c r="A88">
        <v>186</v>
      </c>
      <c r="B88">
        <v>35</v>
      </c>
      <c r="C88">
        <v>2</v>
      </c>
      <c r="D88">
        <v>37</v>
      </c>
      <c r="E88">
        <v>1163</v>
      </c>
      <c r="F88">
        <v>1200</v>
      </c>
      <c r="G88">
        <v>104.43915</v>
      </c>
      <c r="H88">
        <v>1304.4391499999999</v>
      </c>
      <c r="J88">
        <v>162478</v>
      </c>
      <c r="K88">
        <f t="shared" si="22"/>
        <v>162.47800000000001</v>
      </c>
      <c r="M88">
        <f t="shared" si="23"/>
        <v>5.6867299999999998</v>
      </c>
      <c r="N88">
        <f t="shared" si="21"/>
        <v>0.32495600000000002</v>
      </c>
      <c r="O88">
        <f t="shared" si="21"/>
        <v>6.0116860000000001</v>
      </c>
      <c r="P88">
        <f t="shared" si="21"/>
        <v>188.96191400000001</v>
      </c>
      <c r="Q88">
        <f t="shared" si="21"/>
        <v>194.9736</v>
      </c>
      <c r="R88">
        <f t="shared" si="21"/>
        <v>16.969064213700001</v>
      </c>
      <c r="S88">
        <f t="shared" si="21"/>
        <v>211.9426642137</v>
      </c>
    </row>
    <row r="89" spans="1:19" x14ac:dyDescent="0.3">
      <c r="A89">
        <v>193</v>
      </c>
      <c r="B89">
        <v>7</v>
      </c>
      <c r="C89">
        <v>2</v>
      </c>
      <c r="D89">
        <v>9</v>
      </c>
      <c r="E89">
        <v>1151</v>
      </c>
      <c r="F89">
        <v>1160</v>
      </c>
      <c r="G89">
        <v>43.555949999999996</v>
      </c>
      <c r="H89">
        <v>1203.5559499999999</v>
      </c>
      <c r="J89">
        <v>169361</v>
      </c>
      <c r="K89">
        <f t="shared" si="22"/>
        <v>169.36099999999999</v>
      </c>
      <c r="M89">
        <f t="shared" si="23"/>
        <v>1.185527</v>
      </c>
      <c r="N89">
        <f t="shared" si="21"/>
        <v>0.33872200000000002</v>
      </c>
      <c r="O89">
        <f t="shared" si="21"/>
        <v>1.524249</v>
      </c>
      <c r="P89">
        <f t="shared" si="21"/>
        <v>194.93451099999999</v>
      </c>
      <c r="Q89">
        <f t="shared" si="21"/>
        <v>196.45876000000001</v>
      </c>
      <c r="R89">
        <f t="shared" si="21"/>
        <v>7.3766792479499985</v>
      </c>
      <c r="S89">
        <f t="shared" si="21"/>
        <v>203.83543924794998</v>
      </c>
    </row>
    <row r="90" spans="1:19" x14ac:dyDescent="0.3">
      <c r="A90">
        <v>200</v>
      </c>
      <c r="B90">
        <v>252</v>
      </c>
      <c r="C90">
        <v>7</v>
      </c>
      <c r="D90">
        <v>259</v>
      </c>
      <c r="E90">
        <v>1451</v>
      </c>
      <c r="F90">
        <v>1710</v>
      </c>
      <c r="G90">
        <v>377.32634999999999</v>
      </c>
      <c r="H90">
        <v>2087.3263499999998</v>
      </c>
      <c r="J90">
        <v>222355</v>
      </c>
      <c r="K90">
        <f t="shared" si="22"/>
        <v>222.35499999999999</v>
      </c>
      <c r="M90">
        <f t="shared" si="23"/>
        <v>56.033459999999998</v>
      </c>
      <c r="N90">
        <f t="shared" si="21"/>
        <v>1.5564849999999999</v>
      </c>
      <c r="O90">
        <f t="shared" si="21"/>
        <v>57.589945</v>
      </c>
      <c r="P90">
        <f t="shared" si="21"/>
        <v>322.63710500000002</v>
      </c>
      <c r="Q90">
        <f t="shared" si="21"/>
        <v>380.22705000000002</v>
      </c>
      <c r="R90">
        <f t="shared" si="21"/>
        <v>83.900400554249998</v>
      </c>
      <c r="S90">
        <f t="shared" si="21"/>
        <v>464.12745055424995</v>
      </c>
    </row>
    <row r="91" spans="1:19" x14ac:dyDescent="0.3">
      <c r="A91">
        <v>207</v>
      </c>
      <c r="B91">
        <v>42</v>
      </c>
      <c r="C91">
        <v>10</v>
      </c>
      <c r="D91">
        <v>52</v>
      </c>
      <c r="E91">
        <v>1358</v>
      </c>
      <c r="F91">
        <v>1410</v>
      </c>
      <c r="G91">
        <v>291.77730000000003</v>
      </c>
      <c r="H91">
        <v>1701.7773</v>
      </c>
      <c r="J91">
        <v>163359</v>
      </c>
      <c r="K91">
        <f t="shared" si="22"/>
        <v>163.35900000000001</v>
      </c>
      <c r="M91">
        <f t="shared" si="23"/>
        <v>6.861078</v>
      </c>
      <c r="N91">
        <f t="shared" si="21"/>
        <v>1.6335900000000001</v>
      </c>
      <c r="O91">
        <f t="shared" si="21"/>
        <v>8.4946680000000008</v>
      </c>
      <c r="P91">
        <f t="shared" si="21"/>
        <v>221.841522</v>
      </c>
      <c r="Q91">
        <f t="shared" si="21"/>
        <v>230.33618999999999</v>
      </c>
      <c r="R91">
        <f t="shared" si="21"/>
        <v>47.664447950700009</v>
      </c>
      <c r="S91">
        <f t="shared" si="21"/>
        <v>278.00063795069997</v>
      </c>
    </row>
    <row r="92" spans="1:19" x14ac:dyDescent="0.3">
      <c r="A92">
        <v>215</v>
      </c>
      <c r="B92">
        <v>54</v>
      </c>
      <c r="C92">
        <v>9</v>
      </c>
      <c r="D92">
        <v>63</v>
      </c>
      <c r="E92">
        <v>1357</v>
      </c>
      <c r="F92">
        <v>1420</v>
      </c>
      <c r="G92">
        <v>255.89969999999994</v>
      </c>
      <c r="H92">
        <v>1675.8996999999999</v>
      </c>
      <c r="J92">
        <v>173400</v>
      </c>
      <c r="K92">
        <f t="shared" si="22"/>
        <v>173.4</v>
      </c>
      <c r="M92">
        <f t="shared" si="23"/>
        <v>9.3635999999999999</v>
      </c>
      <c r="N92">
        <f t="shared" si="21"/>
        <v>1.5606</v>
      </c>
      <c r="O92">
        <f t="shared" si="21"/>
        <v>10.924200000000001</v>
      </c>
      <c r="P92">
        <f t="shared" si="21"/>
        <v>235.3038</v>
      </c>
      <c r="Q92">
        <f t="shared" si="21"/>
        <v>246.22800000000001</v>
      </c>
      <c r="R92">
        <f t="shared" si="21"/>
        <v>44.37300797999999</v>
      </c>
      <c r="S92">
        <f t="shared" si="21"/>
        <v>290.60100798000002</v>
      </c>
    </row>
    <row r="93" spans="1:19" x14ac:dyDescent="0.3">
      <c r="A93">
        <v>221</v>
      </c>
      <c r="B93">
        <v>201</v>
      </c>
      <c r="C93">
        <v>55</v>
      </c>
      <c r="D93">
        <v>256</v>
      </c>
      <c r="E93">
        <v>1644</v>
      </c>
      <c r="F93">
        <v>1900</v>
      </c>
      <c r="G93">
        <v>1243.6209000000001</v>
      </c>
      <c r="H93">
        <v>3143.6208999999999</v>
      </c>
      <c r="J93">
        <v>169726</v>
      </c>
      <c r="K93">
        <f t="shared" si="22"/>
        <v>169.726</v>
      </c>
      <c r="M93">
        <f t="shared" si="23"/>
        <v>34.114925999999997</v>
      </c>
      <c r="N93">
        <f t="shared" si="21"/>
        <v>9.3349299999999999</v>
      </c>
      <c r="O93">
        <f t="shared" si="21"/>
        <v>43.449855999999997</v>
      </c>
      <c r="P93">
        <f t="shared" si="21"/>
        <v>279.02954399999999</v>
      </c>
      <c r="Q93">
        <f t="shared" si="21"/>
        <v>322.4794</v>
      </c>
      <c r="R93">
        <f t="shared" si="21"/>
        <v>211.07480087340002</v>
      </c>
      <c r="S93">
        <f t="shared" si="21"/>
        <v>533.55420087339996</v>
      </c>
    </row>
    <row r="94" spans="1:19" x14ac:dyDescent="0.3">
      <c r="A94">
        <v>228</v>
      </c>
      <c r="B94">
        <v>89</v>
      </c>
      <c r="C94">
        <v>12</v>
      </c>
      <c r="D94">
        <v>101</v>
      </c>
      <c r="E94">
        <v>1639</v>
      </c>
      <c r="F94">
        <v>1740</v>
      </c>
      <c r="G94">
        <v>534.22289999999998</v>
      </c>
      <c r="H94">
        <v>2274.2228999999998</v>
      </c>
      <c r="J94">
        <v>190822</v>
      </c>
      <c r="K94">
        <f t="shared" si="22"/>
        <v>190.822</v>
      </c>
      <c r="M94">
        <f t="shared" si="23"/>
        <v>16.983158</v>
      </c>
      <c r="N94">
        <f t="shared" si="21"/>
        <v>2.2898640000000001</v>
      </c>
      <c r="O94">
        <f t="shared" si="21"/>
        <v>19.273022000000001</v>
      </c>
      <c r="P94">
        <f t="shared" si="21"/>
        <v>312.75725799999998</v>
      </c>
      <c r="Q94">
        <f t="shared" si="21"/>
        <v>332.03028</v>
      </c>
      <c r="R94">
        <f t="shared" si="21"/>
        <v>101.94148222380001</v>
      </c>
      <c r="S94">
        <f t="shared" si="21"/>
        <v>433.97176222379994</v>
      </c>
    </row>
    <row r="95" spans="1:19" x14ac:dyDescent="0.3">
      <c r="A95">
        <v>238</v>
      </c>
      <c r="B95">
        <v>79</v>
      </c>
      <c r="C95">
        <v>2</v>
      </c>
      <c r="D95">
        <v>81</v>
      </c>
      <c r="E95">
        <v>1619</v>
      </c>
      <c r="F95">
        <v>1700</v>
      </c>
      <c r="G95">
        <v>326.77154999999999</v>
      </c>
      <c r="H95">
        <v>2026.7715499999999</v>
      </c>
      <c r="J95">
        <v>188483</v>
      </c>
      <c r="K95">
        <f t="shared" si="22"/>
        <v>188.483</v>
      </c>
      <c r="M95">
        <f t="shared" si="23"/>
        <v>14.890157</v>
      </c>
      <c r="N95">
        <f t="shared" si="21"/>
        <v>0.37696600000000002</v>
      </c>
      <c r="O95">
        <f t="shared" si="21"/>
        <v>15.267123</v>
      </c>
      <c r="P95">
        <f t="shared" si="21"/>
        <v>305.153977</v>
      </c>
      <c r="Q95">
        <f t="shared" si="21"/>
        <v>320.42110000000002</v>
      </c>
      <c r="R95">
        <f t="shared" si="21"/>
        <v>61.590882058650003</v>
      </c>
      <c r="S95">
        <f t="shared" si="21"/>
        <v>382.01198205865001</v>
      </c>
    </row>
    <row r="96" spans="1:19" x14ac:dyDescent="0.3">
      <c r="A96">
        <v>245</v>
      </c>
      <c r="B96">
        <v>126</v>
      </c>
      <c r="C96">
        <v>2</v>
      </c>
      <c r="D96">
        <v>128</v>
      </c>
      <c r="E96">
        <v>2742</v>
      </c>
      <c r="F96">
        <v>2870</v>
      </c>
      <c r="G96">
        <v>310</v>
      </c>
      <c r="H96">
        <v>3180</v>
      </c>
      <c r="J96">
        <v>168094</v>
      </c>
      <c r="K96">
        <f t="shared" si="22"/>
        <v>168.09399999999999</v>
      </c>
      <c r="M96">
        <f t="shared" si="23"/>
        <v>21.179843999999999</v>
      </c>
      <c r="N96">
        <f t="shared" si="21"/>
        <v>0.33618799999999999</v>
      </c>
      <c r="O96">
        <f t="shared" si="21"/>
        <v>21.516031999999999</v>
      </c>
      <c r="P96">
        <f t="shared" si="21"/>
        <v>460.913748</v>
      </c>
      <c r="Q96">
        <f t="shared" si="21"/>
        <v>482.42977999999999</v>
      </c>
      <c r="R96">
        <f t="shared" si="21"/>
        <v>52.109139999999996</v>
      </c>
      <c r="S96">
        <f t="shared" si="21"/>
        <v>534.53891999999996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Cale Gushulak</dc:creator>
  <cp:lastModifiedBy>Cale Gushulak</cp:lastModifiedBy>
  <dcterms:created xsi:type="dcterms:W3CDTF">2026-01-22T03:22:28Z</dcterms:created>
  <dcterms:modified xsi:type="dcterms:W3CDTF">2026-01-22T03:23:16Z</dcterms:modified>
</cp:coreProperties>
</file>