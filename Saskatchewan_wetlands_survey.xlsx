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autoCompressPictures="0"/>
  <mc:AlternateContent xmlns:mc="http://schemas.openxmlformats.org/markup-compatibility/2006">
    <mc:Choice Requires="x15">
      <x15ac:absPath xmlns:x15ac="http://schemas.microsoft.com/office/spreadsheetml/2010/11/ac" url="C:\Users\limno\Google Drive\Dugouts\Wetlands\"/>
    </mc:Choice>
  </mc:AlternateContent>
  <xr:revisionPtr revIDLastSave="0" documentId="13_ncr:1_{0E16B531-CF64-4C91-A4A6-AB646DCC39BF}" xr6:coauthVersionLast="46" xr6:coauthVersionMax="46" xr10:uidLastSave="{00000000-0000-0000-0000-000000000000}"/>
  <bookViews>
    <workbookView xWindow="-120" yWindow="-120" windowWidth="29040" windowHeight="17640" xr2:uid="{00000000-000D-0000-FFFF-FFFF00000000}"/>
  </bookViews>
  <sheets>
    <sheet name="Master" sheetId="1" r:id="rId1"/>
    <sheet name="Triplex" sheetId="3" r:id="rId2"/>
    <sheet name="TN_TP" sheetId="4" r:id="rId3"/>
    <sheet name="TIC" sheetId="5" r:id="rId4"/>
    <sheet name="TOC" sheetId="6" r:id="rId5"/>
    <sheet name="GHG" sheetId="2" r:id="rId6"/>
  </sheets>
  <externalReferences>
    <externalReference r:id="rId7"/>
    <externalReference r:id="rId8"/>
  </externalReferences>
  <definedNames>
    <definedName name="_xlnm._FilterDatabase" localSheetId="5" hidden="1">GHG!$B$1:$B$39</definedName>
    <definedName name="_xlnm._FilterDatabase" localSheetId="0" hidden="1">Master!$BA$1:$BA$66</definedName>
    <definedName name="_xlnm._FilterDatabase" localSheetId="3" hidden="1">TIC!$A$1:$F$121</definedName>
    <definedName name="_xlnm._FilterDatabase" localSheetId="2" hidden="1">TN_TP!$A$1:$F$121</definedName>
    <definedName name="_xlnm._FilterDatabase" localSheetId="1" hidden="1">Triplex!$A$1:$J$121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V3" i="1" l="1"/>
  <c r="AV4" i="1"/>
  <c r="AV6" i="1"/>
  <c r="AV7" i="1"/>
  <c r="AV8" i="1"/>
  <c r="AV9" i="1"/>
  <c r="AV12" i="1"/>
  <c r="AV13" i="1"/>
  <c r="AV14" i="1"/>
  <c r="AV15" i="1"/>
  <c r="AV17" i="1"/>
  <c r="AV18" i="1"/>
  <c r="AV19" i="1"/>
  <c r="AV20" i="1"/>
  <c r="AV21" i="1"/>
  <c r="AT2" i="1"/>
  <c r="AT3" i="1"/>
  <c r="AT4" i="1"/>
  <c r="AT5" i="1"/>
  <c r="AT6" i="1"/>
  <c r="AT7" i="1"/>
  <c r="AT8" i="1"/>
  <c r="AT9" i="1"/>
  <c r="AT10" i="1"/>
  <c r="AT11" i="1"/>
  <c r="AT12" i="1"/>
  <c r="AT13" i="1"/>
  <c r="AT14" i="1"/>
  <c r="AT15" i="1"/>
  <c r="AT16" i="1"/>
  <c r="AT17" i="1"/>
  <c r="AT18" i="1"/>
  <c r="AT19" i="1"/>
  <c r="AT20" i="1"/>
  <c r="AT21" i="1"/>
  <c r="A121" i="6"/>
  <c r="A120" i="6"/>
  <c r="A119" i="6"/>
  <c r="A118" i="6"/>
  <c r="A117" i="6"/>
  <c r="A116" i="6"/>
  <c r="A115" i="6"/>
  <c r="A114" i="6"/>
  <c r="A113" i="6"/>
  <c r="AV16" i="1" s="1"/>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6" i="6"/>
  <c r="A5" i="6"/>
  <c r="A4" i="6"/>
  <c r="A3" i="6"/>
  <c r="A2" i="6"/>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R4" i="1" s="1"/>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CH15" i="1"/>
  <c r="AV11" i="1" l="1"/>
  <c r="AV2" i="1"/>
  <c r="AV10" i="1"/>
  <c r="AV5" i="1"/>
  <c r="AQ20" i="1"/>
  <c r="AQ8" i="1"/>
  <c r="AR16" i="1"/>
  <c r="AQ19" i="1"/>
  <c r="AQ7" i="1"/>
  <c r="AR15" i="1"/>
  <c r="AR3" i="1"/>
  <c r="AQ18" i="1"/>
  <c r="AQ6" i="1"/>
  <c r="AR14" i="1"/>
  <c r="AQ17" i="1"/>
  <c r="AQ5" i="1"/>
  <c r="AR13" i="1"/>
  <c r="AR12" i="1"/>
  <c r="AR11" i="1"/>
  <c r="AQ16" i="1"/>
  <c r="AQ15" i="1"/>
  <c r="AR2" i="1"/>
  <c r="AR21" i="1"/>
  <c r="AQ12" i="1"/>
  <c r="AR20" i="1"/>
  <c r="AR8" i="1"/>
  <c r="AQ4" i="1"/>
  <c r="AQ3" i="1"/>
  <c r="AQ14" i="1"/>
  <c r="AR10" i="1"/>
  <c r="AQ13" i="1"/>
  <c r="AR9" i="1"/>
  <c r="AQ11" i="1"/>
  <c r="AR19" i="1"/>
  <c r="AR7" i="1"/>
  <c r="AQ2" i="1"/>
  <c r="AQ10" i="1"/>
  <c r="AR18" i="1"/>
  <c r="AR6" i="1"/>
  <c r="AQ21" i="1"/>
  <c r="AQ9" i="1"/>
  <c r="AR17" i="1"/>
  <c r="AR5" i="1"/>
  <c r="AP9" i="1"/>
  <c r="AP3" i="1"/>
  <c r="AN16" i="1"/>
  <c r="AN12" i="1"/>
  <c r="AN11" i="1"/>
  <c r="AN2" i="1"/>
  <c r="AO18" i="1"/>
  <c r="AO21" i="1"/>
  <c r="AP15" i="1"/>
  <c r="AP14" i="1"/>
  <c r="AP13" i="1"/>
  <c r="AN20" i="1"/>
  <c r="AN8" i="1"/>
  <c r="AO17" i="1"/>
  <c r="AO5" i="1"/>
  <c r="AP12" i="1"/>
  <c r="AO8" i="1"/>
  <c r="AO7" i="1"/>
  <c r="AO6" i="1"/>
  <c r="AN19" i="1"/>
  <c r="AN7" i="1"/>
  <c r="AO16" i="1"/>
  <c r="AO4" i="1"/>
  <c r="AP11" i="1"/>
  <c r="AO20" i="1"/>
  <c r="AN10" i="1"/>
  <c r="AN21" i="1"/>
  <c r="AN18" i="1"/>
  <c r="AN6" i="1"/>
  <c r="AO15" i="1"/>
  <c r="AO3" i="1"/>
  <c r="AP10" i="1"/>
  <c r="AO19" i="1"/>
  <c r="AN9" i="1"/>
  <c r="AN17" i="1"/>
  <c r="AN5" i="1"/>
  <c r="AO14" i="1"/>
  <c r="AP21" i="1"/>
  <c r="AN4" i="1"/>
  <c r="AO13" i="1"/>
  <c r="AP20" i="1"/>
  <c r="AP8" i="1"/>
  <c r="AN15" i="1"/>
  <c r="AN3" i="1"/>
  <c r="AO12" i="1"/>
  <c r="AP19" i="1"/>
  <c r="AP7" i="1"/>
  <c r="AN14" i="1"/>
  <c r="AO2" i="1"/>
  <c r="AO11" i="1"/>
  <c r="AP18" i="1"/>
  <c r="AP6" i="1"/>
  <c r="AN13" i="1"/>
  <c r="AP2" i="1"/>
  <c r="AO10" i="1"/>
  <c r="AP17" i="1"/>
  <c r="AP5" i="1"/>
  <c r="AO9" i="1"/>
  <c r="AP16" i="1"/>
  <c r="AP4" i="1"/>
  <c r="CH3" i="1"/>
  <c r="CH4" i="1"/>
  <c r="CH5" i="1"/>
  <c r="CH6" i="1"/>
  <c r="CH7" i="1"/>
  <c r="CH8" i="1"/>
  <c r="CH9" i="1"/>
  <c r="CH10" i="1"/>
  <c r="CH11" i="1"/>
  <c r="CH12" i="1"/>
  <c r="CH13" i="1"/>
  <c r="CH14" i="1"/>
  <c r="CH16" i="1"/>
  <c r="CH17" i="1"/>
  <c r="CH18" i="1"/>
  <c r="CH19" i="1"/>
  <c r="CH20" i="1"/>
  <c r="CH21" i="1"/>
  <c r="CH2" i="1"/>
  <c r="CG3" i="1"/>
  <c r="CG4" i="1"/>
  <c r="CG5" i="1"/>
  <c r="CG6" i="1"/>
  <c r="CG7" i="1"/>
  <c r="CG8" i="1"/>
  <c r="CG9" i="1"/>
  <c r="CG10" i="1"/>
  <c r="CG11" i="1"/>
  <c r="CG12" i="1"/>
  <c r="CG13" i="1"/>
  <c r="CG14" i="1"/>
  <c r="CG15" i="1"/>
  <c r="CG16" i="1"/>
  <c r="CG17" i="1"/>
  <c r="CG18" i="1"/>
  <c r="CG19" i="1"/>
  <c r="CG20" i="1"/>
  <c r="CG21" i="1"/>
  <c r="CG2" i="1"/>
  <c r="C5" i="1" l="1"/>
  <c r="C4" i="1"/>
  <c r="C6" i="1"/>
  <c r="C7" i="1"/>
  <c r="C8" i="1"/>
  <c r="C9" i="1"/>
  <c r="C10" i="1"/>
  <c r="C11" i="1"/>
  <c r="C12" i="1"/>
  <c r="C13" i="1"/>
  <c r="C14" i="1"/>
  <c r="C15" i="1"/>
  <c r="C16" i="1"/>
  <c r="C17" i="1"/>
  <c r="C18" i="1"/>
  <c r="C19" i="1"/>
  <c r="C20" i="1"/>
  <c r="C21" i="1"/>
  <c r="AD3" i="1"/>
  <c r="AD4" i="1"/>
  <c r="AD5" i="1"/>
  <c r="AD6" i="1"/>
  <c r="AD7" i="1"/>
  <c r="AD8" i="1"/>
  <c r="AD9" i="1"/>
  <c r="AD10" i="1"/>
  <c r="AD11" i="1"/>
  <c r="AD12" i="1"/>
  <c r="AD13" i="1"/>
  <c r="AD14" i="1"/>
  <c r="AD15" i="1"/>
  <c r="AD16" i="1"/>
  <c r="AD17" i="1"/>
  <c r="AD18" i="1"/>
  <c r="AD19" i="1"/>
  <c r="AD20" i="1"/>
  <c r="AD21" i="1"/>
  <c r="C3" i="1"/>
  <c r="C2" i="1"/>
  <c r="A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Finlaylab</author>
    <author>User</author>
  </authors>
  <commentList>
    <comment ref="AS1" authorId="0" shapeId="0" xr:uid="{00000000-0006-0000-0000-000001000000}">
      <text>
        <r>
          <rPr>
            <b/>
            <sz val="9"/>
            <color indexed="81"/>
            <rFont val="Tahoma"/>
            <family val="2"/>
          </rPr>
          <t>Finlaylab:</t>
        </r>
        <r>
          <rPr>
            <sz val="9"/>
            <color indexed="81"/>
            <rFont val="Tahoma"/>
            <family val="2"/>
          </rPr>
          <t xml:space="preserve">
Molar ratio of SRP to TN</t>
        </r>
      </text>
    </comment>
    <comment ref="CG1" authorId="0" shapeId="0" xr:uid="{00000000-0006-0000-0000-000002000000}">
      <text>
        <r>
          <rPr>
            <b/>
            <sz val="9"/>
            <color indexed="81"/>
            <rFont val="Tahoma"/>
            <family val="2"/>
          </rPr>
          <t>Finlaylab:</t>
        </r>
        <r>
          <rPr>
            <sz val="9"/>
            <color indexed="81"/>
            <rFont val="Tahoma"/>
            <family val="2"/>
          </rPr>
          <t xml:space="preserve">
maximum buoyancy frequency based on temp profiles</t>
        </r>
      </text>
    </comment>
    <comment ref="BD18" authorId="1" shapeId="0" xr:uid="{3E491C2C-F49D-43E1-9842-815BA03AB83F}">
      <text>
        <r>
          <rPr>
            <b/>
            <sz val="9"/>
            <color indexed="81"/>
            <rFont val="Tahoma"/>
            <family val="2"/>
          </rPr>
          <t>User:</t>
        </r>
        <r>
          <rPr>
            <sz val="9"/>
            <color indexed="81"/>
            <rFont val="Tahoma"/>
            <family val="2"/>
          </rPr>
          <t xml:space="preserve">
Average from GHG calculations - 1A &amp; 1B were N/A values so average of 2A &amp; 2B used. Likely a ND.</t>
        </r>
      </text>
    </comment>
  </commentList>
</comments>
</file>

<file path=xl/sharedStrings.xml><?xml version="1.0" encoding="utf-8"?>
<sst xmlns="http://schemas.openxmlformats.org/spreadsheetml/2006/main" count="1395" uniqueCount="383">
  <si>
    <t>Site_ID</t>
  </si>
  <si>
    <t>Site_name</t>
  </si>
  <si>
    <t>Sorting</t>
  </si>
  <si>
    <t>Date</t>
  </si>
  <si>
    <t>Time</t>
  </si>
  <si>
    <t>latitude</t>
  </si>
  <si>
    <t>longitude</t>
  </si>
  <si>
    <t>Air_temp</t>
  </si>
  <si>
    <t>Cloud (%)</t>
  </si>
  <si>
    <t>Wind_km.hr</t>
  </si>
  <si>
    <t>Field_team</t>
  </si>
  <si>
    <t>Secchi.m</t>
  </si>
  <si>
    <t>Depth.m</t>
  </si>
  <si>
    <t>Max_depth.m</t>
  </si>
  <si>
    <t>DO Calibration%</t>
  </si>
  <si>
    <t>Sample_depth</t>
  </si>
  <si>
    <t>Depth_grouped</t>
  </si>
  <si>
    <t>Surface_Temp</t>
  </si>
  <si>
    <t>Surface_DO.sat</t>
  </si>
  <si>
    <t>Surface_DO.mg.L</t>
  </si>
  <si>
    <t>Surface_Cond</t>
  </si>
  <si>
    <t>Surface_Sal.ppt</t>
  </si>
  <si>
    <t>Surface_pH</t>
  </si>
  <si>
    <t>Deep_Temp</t>
  </si>
  <si>
    <t>Deep_DO.sat</t>
  </si>
  <si>
    <t>Deep_DO.mg.L</t>
  </si>
  <si>
    <t>Deep_Cond</t>
  </si>
  <si>
    <t>Deep_Sal.ppt</t>
  </si>
  <si>
    <t>Deep_pH</t>
  </si>
  <si>
    <t>TDS.mg.L</t>
  </si>
  <si>
    <t>YSI_atm</t>
  </si>
  <si>
    <t>Core_length (cm)</t>
  </si>
  <si>
    <t>Sediment_depth</t>
  </si>
  <si>
    <t>Bottle_Temp_In</t>
  </si>
  <si>
    <t>Bottle_temp_out</t>
  </si>
  <si>
    <t>Tows</t>
  </si>
  <si>
    <t>Floating_chamberY/N</t>
  </si>
  <si>
    <t>Chl_total</t>
  </si>
  <si>
    <t>Chla</t>
  </si>
  <si>
    <t>NH3.mg.N.L</t>
  </si>
  <si>
    <t>SRP.mg.P.L</t>
  </si>
  <si>
    <t>Nitrate_Nitrite.ug.N.L</t>
  </si>
  <si>
    <t>TP.mg.P.L</t>
  </si>
  <si>
    <t>TN.ug.N.L</t>
  </si>
  <si>
    <t>NP_ratio</t>
  </si>
  <si>
    <t>DIC.mg.L</t>
  </si>
  <si>
    <t>DIC.uM</t>
  </si>
  <si>
    <t>DOC.mg.L</t>
  </si>
  <si>
    <t>DOC.uM</t>
  </si>
  <si>
    <t>pCO2</t>
  </si>
  <si>
    <t>CO2.uM</t>
  </si>
  <si>
    <t>CO2.uM.error</t>
  </si>
  <si>
    <t>pCH4</t>
  </si>
  <si>
    <t>CH4.uM</t>
  </si>
  <si>
    <t>CH4.uM.error</t>
  </si>
  <si>
    <t>pN2O</t>
  </si>
  <si>
    <t>N2O.nM</t>
  </si>
  <si>
    <t>N2O.nM.error</t>
  </si>
  <si>
    <r>
      <t>d</t>
    </r>
    <r>
      <rPr>
        <vertAlign val="superscript"/>
        <sz val="11"/>
        <rFont val="Calibri"/>
        <family val="2"/>
        <scheme val="minor"/>
      </rPr>
      <t>15</t>
    </r>
    <r>
      <rPr>
        <sz val="11"/>
        <rFont val="Calibri"/>
        <family val="2"/>
        <scheme val="minor"/>
      </rPr>
      <t>N_bulk</t>
    </r>
  </si>
  <si>
    <r>
      <t>d</t>
    </r>
    <r>
      <rPr>
        <vertAlign val="superscript"/>
        <sz val="11"/>
        <rFont val="Calibri"/>
        <family val="2"/>
        <scheme val="minor"/>
      </rPr>
      <t>13</t>
    </r>
    <r>
      <rPr>
        <sz val="11"/>
        <rFont val="Calibri"/>
        <family val="2"/>
        <scheme val="minor"/>
      </rPr>
      <t>C_bulk</t>
    </r>
  </si>
  <si>
    <t>mgN_bulk</t>
  </si>
  <si>
    <t>mgC_bulk</t>
  </si>
  <si>
    <t>PercentN_bulk</t>
  </si>
  <si>
    <t>PercentC_bulk</t>
  </si>
  <si>
    <t>sediment_C_N</t>
  </si>
  <si>
    <r>
      <t>d</t>
    </r>
    <r>
      <rPr>
        <vertAlign val="superscript"/>
        <sz val="11"/>
        <rFont val="Calibri"/>
        <family val="2"/>
        <scheme val="minor"/>
      </rPr>
      <t>15</t>
    </r>
    <r>
      <rPr>
        <sz val="11"/>
        <rFont val="Calibri"/>
        <family val="2"/>
        <scheme val="minor"/>
      </rPr>
      <t>N_org</t>
    </r>
  </si>
  <si>
    <r>
      <t>d</t>
    </r>
    <r>
      <rPr>
        <vertAlign val="superscript"/>
        <sz val="11"/>
        <rFont val="Calibri"/>
        <family val="2"/>
        <scheme val="minor"/>
      </rPr>
      <t>13</t>
    </r>
    <r>
      <rPr>
        <sz val="11"/>
        <rFont val="Calibri"/>
        <family val="2"/>
        <scheme val="minor"/>
      </rPr>
      <t>C_org</t>
    </r>
  </si>
  <si>
    <t>mgN_org</t>
  </si>
  <si>
    <t>mgC_org</t>
  </si>
  <si>
    <t>PercentN_org</t>
  </si>
  <si>
    <t>PercentC_org</t>
  </si>
  <si>
    <t>d2H</t>
  </si>
  <si>
    <t>d18O</t>
  </si>
  <si>
    <t>EtoI</t>
  </si>
  <si>
    <t>Regime</t>
  </si>
  <si>
    <t>Water Source</t>
  </si>
  <si>
    <t>Residence_Time</t>
  </si>
  <si>
    <t>General Comments</t>
  </si>
  <si>
    <t>Water_class</t>
  </si>
  <si>
    <t>Landuse</t>
  </si>
  <si>
    <t>Age.years</t>
  </si>
  <si>
    <t>NP.ratio</t>
  </si>
  <si>
    <t>TA_DIC.umol</t>
  </si>
  <si>
    <t>TA_CO2.umol</t>
  </si>
  <si>
    <t>b.f.max</t>
  </si>
  <si>
    <t>b.f.min</t>
  </si>
  <si>
    <t>SE, RR</t>
  </si>
  <si>
    <t>sampled near/ontop of thick macrophyte bed, connected to 98 downstream, surrounded by mainly grasslands, stand of poplar trees nearby</t>
  </si>
  <si>
    <t>lots of birds using the water (seagulls), lots of filamentous algae, smelly water, blue green ring around the water</t>
  </si>
  <si>
    <t>macrophytes, shrimp, located along a fairly busy grid road, orange bottom (maybe cyano-carotenoid pigment)</t>
  </si>
  <si>
    <t>connected to 66, surrounded by grassland, green and murky/turbid water</t>
  </si>
  <si>
    <t>connected to 98 via small stream, entirely connected to 89, surrounded by mostly trees and some grasslands, water is very green and smelly at shore, lots of dead trees in the water</t>
  </si>
  <si>
    <t>connected to 9, water drains into small stream with poplar trees on either side, reeds surrounding the pond, grassland mostly surrounding</t>
  </si>
  <si>
    <t>pond partially connected, dead trees/shrubary in the connection making a dam, surrounded by grassland</t>
  </si>
  <si>
    <t>smokey/hazy out, surrounded by grassland, riparian zone all around, dead trees, macrophytes</t>
  </si>
  <si>
    <t>SE, AK</t>
  </si>
  <si>
    <t>generally round, mostly grass surrounding, in a wetter year would be connected to 71, dam of dead trees, hill slope on one side with shrubs and trees, sampled from .25m, shrimp in pond</t>
  </si>
  <si>
    <t>very hazy out, oval shape, 60% dead trees surrounding, 40% reeds, thick mat of algae on the surface at the edges, submerged macrophytes cover bottom, surrounded by grassland</t>
  </si>
  <si>
    <t>hazy, connected with many other wetlands (65, 67,68, 63, 64, 76, 78…), gravel road on one side, grass on all othersides, 90% reeds and 10% shrubs surrounding</t>
  </si>
  <si>
    <t>sampled from surface, submerged macrophytes across entire pond reaching surface, 50% dead trees 50% reeds surrounding, fence posts in the water, round, gravel road running beside, hazy out</t>
  </si>
  <si>
    <t>surrounding vegetation including grassland shrubs and reeds, turbid water, round with island in middle, trail on north side of pond, GIWS has buoy out</t>
  </si>
  <si>
    <t>125N and 125S now all one pond, connected to 140, lots of filamentous algae, kidney bean shape, mostly reeds and grass surrounding with the occasional shrub, dense submerged macrophytes around the edges</t>
  </si>
  <si>
    <t>roughly circular shape, cropland on one side and grassland on the other, mostly dead trees surrounding on about 10% of the shoreline</t>
  </si>
  <si>
    <t>ducklings swimming in pond, round pond, dead trees in the water about 95% of shoreline, reedy, surrounded by grassland, very clear water (slightly red/brown)</t>
  </si>
  <si>
    <t>round, shallow, sampled from surface, 50% shore is reeds other 50% is dead trees, floating green plants with small roots "lime green chili flakes", grass in water around edges</t>
  </si>
  <si>
    <t>shallow - sampled from surface, thick layer of plant with small root "floating lime green chili flakes"</t>
  </si>
  <si>
    <t>samples from 25cm, saw a couple water mites, circular shape, can see the bottom, submerged macrophytes cover entire pond, 80% treed shoreline</t>
  </si>
  <si>
    <t>large and round, grass and reeds on all sides, few dead trees, grassland surrounding</t>
  </si>
  <si>
    <t>N</t>
  </si>
  <si>
    <t>Sample</t>
  </si>
  <si>
    <t>Ammonia (mg NH3-N/L)</t>
  </si>
  <si>
    <t>SRP (mg P/L)</t>
  </si>
  <si>
    <t>Nitrate/Nitrite (ug N/L)</t>
  </si>
  <si>
    <t>23-AUG9</t>
  </si>
  <si>
    <t>23-MAY17</t>
  </si>
  <si>
    <t>23-SEPT27</t>
  </si>
  <si>
    <t>23-JUN11</t>
  </si>
  <si>
    <t>23-JUL12</t>
  </si>
  <si>
    <t>68-APR26</t>
  </si>
  <si>
    <t>68-MAY18</t>
  </si>
  <si>
    <t>68-JUL13</t>
  </si>
  <si>
    <t>14A</t>
  </si>
  <si>
    <t>14A-SEP28</t>
  </si>
  <si>
    <t>14A-MAY18</t>
  </si>
  <si>
    <t>14A-JUL13</t>
  </si>
  <si>
    <t>14A-APR26</t>
  </si>
  <si>
    <t>0 Hr</t>
  </si>
  <si>
    <t>14A-0H-JUN26</t>
  </si>
  <si>
    <t>12 Hr</t>
  </si>
  <si>
    <t>14A-12H-JUN26</t>
  </si>
  <si>
    <t>24 Hr</t>
  </si>
  <si>
    <t>14A-24H-JUN26</t>
  </si>
  <si>
    <t>14B</t>
  </si>
  <si>
    <t>14B-SEP28</t>
  </si>
  <si>
    <t>14B-MAY18</t>
  </si>
  <si>
    <t>14B-APR26</t>
  </si>
  <si>
    <t>14B-JUL13</t>
  </si>
  <si>
    <t>23-0H-JUL31</t>
  </si>
  <si>
    <t>23-12H-JUL31</t>
  </si>
  <si>
    <t>23-24H-AUG1</t>
  </si>
  <si>
    <t>32A</t>
  </si>
  <si>
    <t>32A-SEP27</t>
  </si>
  <si>
    <t>32A-MAY1</t>
  </si>
  <si>
    <t>32A-JUL12</t>
  </si>
  <si>
    <t>32A-MAY23</t>
  </si>
  <si>
    <t>32B</t>
  </si>
  <si>
    <t>32B-SEP27</t>
  </si>
  <si>
    <t>32B-MAY1</t>
  </si>
  <si>
    <t>32B-MAY23</t>
  </si>
  <si>
    <t>32B-JUL12</t>
  </si>
  <si>
    <t>32C</t>
  </si>
  <si>
    <t>32C-MAY17</t>
  </si>
  <si>
    <t>32C-MAY1</t>
  </si>
  <si>
    <t>32C-SEP27</t>
  </si>
  <si>
    <t>32C-JUL12</t>
  </si>
  <si>
    <t>4A</t>
  </si>
  <si>
    <t>4A-MAY14</t>
  </si>
  <si>
    <t>4A-AUG8</t>
  </si>
  <si>
    <t>4A-SEP24</t>
  </si>
  <si>
    <t>4A-JUL9</t>
  </si>
  <si>
    <t>4A-JUN11</t>
  </si>
  <si>
    <t>4A-APR24</t>
  </si>
  <si>
    <t>4C</t>
  </si>
  <si>
    <t>4C-MAY16</t>
  </si>
  <si>
    <t>4C-SEP26</t>
  </si>
  <si>
    <t>4C-JUL11</t>
  </si>
  <si>
    <t>4C-APR24</t>
  </si>
  <si>
    <t>4C-0H-JUL25</t>
  </si>
  <si>
    <t>4C-12H-JUL25</t>
  </si>
  <si>
    <t>4C-24H-JUL26</t>
  </si>
  <si>
    <t>4D</t>
  </si>
  <si>
    <t>4D-MAY16</t>
  </si>
  <si>
    <t>4D-SEP26</t>
  </si>
  <si>
    <t>4D-AUG8</t>
  </si>
  <si>
    <t>4D-JUN11</t>
  </si>
  <si>
    <t>4D-JUL11</t>
  </si>
  <si>
    <t>4D-APR24</t>
  </si>
  <si>
    <t>56A</t>
  </si>
  <si>
    <t>56A-MAY16</t>
  </si>
  <si>
    <t>56A-SEP26</t>
  </si>
  <si>
    <t>56A-JUL11</t>
  </si>
  <si>
    <t>56A-APR25</t>
  </si>
  <si>
    <t>56A-0H-JUL18</t>
  </si>
  <si>
    <t>56A-12H-JUL18</t>
  </si>
  <si>
    <t>56A-24H-JUL18</t>
  </si>
  <si>
    <t>56B</t>
  </si>
  <si>
    <t>56B-SEP26</t>
  </si>
  <si>
    <t>56B-MAY16</t>
  </si>
  <si>
    <t>56B-JUL11</t>
  </si>
  <si>
    <t>56B-APR25</t>
  </si>
  <si>
    <t>61B</t>
  </si>
  <si>
    <t>61B-MAY15</t>
  </si>
  <si>
    <t>61B-SEP25</t>
  </si>
  <si>
    <t>61B-JUL10</t>
  </si>
  <si>
    <t>61B-MAY3</t>
  </si>
  <si>
    <t>61C</t>
  </si>
  <si>
    <t>61C-SEP25</t>
  </si>
  <si>
    <t>61C-MAY15</t>
  </si>
  <si>
    <t>61C-MAY3</t>
  </si>
  <si>
    <t>61C-JUL10</t>
  </si>
  <si>
    <t>62B</t>
  </si>
  <si>
    <t>62B-SEP25</t>
  </si>
  <si>
    <t>62B-MAY15</t>
  </si>
  <si>
    <t>62B-MAY3</t>
  </si>
  <si>
    <t>62B-JUL10</t>
  </si>
  <si>
    <t>62C</t>
  </si>
  <si>
    <t>62C-SEP25</t>
  </si>
  <si>
    <t>62C-MAY15</t>
  </si>
  <si>
    <t>62C-MAY3</t>
  </si>
  <si>
    <t>62C-JUL10</t>
  </si>
  <si>
    <t>62E</t>
  </si>
  <si>
    <t>62E-MAY3</t>
  </si>
  <si>
    <t>62E-SEP25</t>
  </si>
  <si>
    <t>62E-MAY15</t>
  </si>
  <si>
    <t>62E-JUL16</t>
  </si>
  <si>
    <t>66A</t>
  </si>
  <si>
    <t>66A-SEP24</t>
  </si>
  <si>
    <t>66A-MAY14</t>
  </si>
  <si>
    <t>66A-AUG9</t>
  </si>
  <si>
    <t>66A-APR27</t>
  </si>
  <si>
    <t>66A-JULY12</t>
  </si>
  <si>
    <t>66A-JUL9</t>
  </si>
  <si>
    <t>66B</t>
  </si>
  <si>
    <t>66B-APR27</t>
  </si>
  <si>
    <t>66B-SEPT24</t>
  </si>
  <si>
    <t>66B-MAY14</t>
  </si>
  <si>
    <t>66B-JUL9</t>
  </si>
  <si>
    <t>66C</t>
  </si>
  <si>
    <t>66C-APR27</t>
  </si>
  <si>
    <t>66C-AUG9</t>
  </si>
  <si>
    <t>66C-SEP24</t>
  </si>
  <si>
    <t>66C-JUN12</t>
  </si>
  <si>
    <t>66C-MAY14</t>
  </si>
  <si>
    <t>66C-JUL9</t>
  </si>
  <si>
    <t>P1</t>
  </si>
  <si>
    <t>P103</t>
  </si>
  <si>
    <t>P109</t>
  </si>
  <si>
    <t>P118</t>
  </si>
  <si>
    <t>P120</t>
  </si>
  <si>
    <t>P124</t>
  </si>
  <si>
    <t>P125</t>
  </si>
  <si>
    <t>P20</t>
  </si>
  <si>
    <t>P26</t>
  </si>
  <si>
    <t>P35</t>
  </si>
  <si>
    <t>P37</t>
  </si>
  <si>
    <t>P50</t>
  </si>
  <si>
    <t>P66</t>
  </si>
  <si>
    <t>P67</t>
  </si>
  <si>
    <t>P70</t>
  </si>
  <si>
    <t>P75</t>
  </si>
  <si>
    <t>P88</t>
  </si>
  <si>
    <t>P90</t>
  </si>
  <si>
    <t>P97</t>
  </si>
  <si>
    <t>P98</t>
  </si>
  <si>
    <t>TN (ug N/L)</t>
  </si>
  <si>
    <t>TP (mg P/L)</t>
  </si>
  <si>
    <t>23-SEP27</t>
  </si>
  <si>
    <t>23-JUL11</t>
  </si>
  <si>
    <t>TOC/TIC</t>
  </si>
  <si>
    <t>PPM</t>
  </si>
  <si>
    <t>Dugout2018_23-SEPT27</t>
  </si>
  <si>
    <t>TIC</t>
  </si>
  <si>
    <t>Dugout2018_23-AUG9</t>
  </si>
  <si>
    <t>Dugout2018_23-MAY17</t>
  </si>
  <si>
    <t>Dugout2018_23-JULY12</t>
  </si>
  <si>
    <t>Dugout2018_23-JUNE11</t>
  </si>
  <si>
    <t>Dugout2018_68-JULY13</t>
  </si>
  <si>
    <t>Dugout2018_68-MAY18</t>
  </si>
  <si>
    <t>Dugout2018_68-APR26</t>
  </si>
  <si>
    <t>Dugout2018_14A-SEPT28</t>
  </si>
  <si>
    <t>Dugout2018_14A-MAY18</t>
  </si>
  <si>
    <t>Dugout2018_14A-JULY13</t>
  </si>
  <si>
    <t>Dugout2018_14A-APR26</t>
  </si>
  <si>
    <t>Dugout2018_14A-0H-JUNE26</t>
  </si>
  <si>
    <t>Dugout2018_14A-12H-JUNE26</t>
  </si>
  <si>
    <t>Dugout2018_14A-24H-JUNE26</t>
  </si>
  <si>
    <t>Dugout2018_14B-SEPT28</t>
  </si>
  <si>
    <t>Dugout2018_14B-MAY18</t>
  </si>
  <si>
    <t>Dugout2018_14B-JULY13</t>
  </si>
  <si>
    <t>Dugout2018_14B-APR26</t>
  </si>
  <si>
    <t>Dugout2018_23-0h-JULY31</t>
  </si>
  <si>
    <t>Dugout2018_23-12h-JULY31</t>
  </si>
  <si>
    <t>Dugout2018_23-24h-AUG1</t>
  </si>
  <si>
    <t>Dugout2018_32A-SEPT27</t>
  </si>
  <si>
    <t>Dugout2018_32A-MAY1</t>
  </si>
  <si>
    <t>Dugout2018_32A-JULY12</t>
  </si>
  <si>
    <t>Dugout2018_32A-MAY23</t>
  </si>
  <si>
    <t>Dugout2018_32B-SEPT27</t>
  </si>
  <si>
    <t>Dugout2018_32B-MAY1</t>
  </si>
  <si>
    <t>Dugout2018_32B-MAY23</t>
  </si>
  <si>
    <t>Dugout2018_32B-JULY12</t>
  </si>
  <si>
    <t>Dugout2018_32C-MAY17</t>
  </si>
  <si>
    <t>Dugout2018_32C-MAY1</t>
  </si>
  <si>
    <t>Dugout2018_32C-SEPT27</t>
  </si>
  <si>
    <t>Dugout2018_32C-JULY12</t>
  </si>
  <si>
    <t>Dugout2018_4A-MAY14</t>
  </si>
  <si>
    <t>Dugout2018_4A-AUG8</t>
  </si>
  <si>
    <t>Dugout2018_4A-SEPT24</t>
  </si>
  <si>
    <t>Dugout2018_4A-JULY9</t>
  </si>
  <si>
    <t>Dugout2018_4A-APR24</t>
  </si>
  <si>
    <t>Dugout2018_4A-JUNE11</t>
  </si>
  <si>
    <t>Dugout2018_4C-MAY16</t>
  </si>
  <si>
    <t>Dugout2018_4C-SEPT20</t>
  </si>
  <si>
    <t>Dugout2018_4C-24hr-JULY26</t>
  </si>
  <si>
    <t>Dugout2018_4C-JULY11</t>
  </si>
  <si>
    <t>Dugout2018_4C-APR24</t>
  </si>
  <si>
    <t>Dugout2018_4C-0h-JULY25</t>
  </si>
  <si>
    <t>Dugout2018_4C-12h-JULY25</t>
  </si>
  <si>
    <t>Dugout2018_4D-MAY16</t>
  </si>
  <si>
    <t>Dugout2018_4D-SEPT26</t>
  </si>
  <si>
    <t>Dugout2018_4D-AUG8</t>
  </si>
  <si>
    <t>Dugout2018_4D-JULY11</t>
  </si>
  <si>
    <t>Dugout2018_4D-APR24</t>
  </si>
  <si>
    <t>Dugout2018_56A-MAY16</t>
  </si>
  <si>
    <t>Dugout2018_56A-SEPT26</t>
  </si>
  <si>
    <t>Dugout2018_56A-JULY18</t>
  </si>
  <si>
    <t>Dugout2018_56A-APR25</t>
  </si>
  <si>
    <t>Dugout2018_56A-0H-JULY18</t>
  </si>
  <si>
    <t>Dugout2018_56A-12H-JULY18</t>
  </si>
  <si>
    <t>Dugout2018_56A-24H-JULY18</t>
  </si>
  <si>
    <t>Dugout2018_56B-SEPT26</t>
  </si>
  <si>
    <t>Dugout2018_56B-MAY16</t>
  </si>
  <si>
    <t>Dugout2018_56B-JULY11</t>
  </si>
  <si>
    <t>Dugout2018_56B-APR25</t>
  </si>
  <si>
    <t>Dugout2018_61B-MAY15</t>
  </si>
  <si>
    <t>Dugout2018_61B-SEPT25</t>
  </si>
  <si>
    <t>Dugout2018_61B-JULY10</t>
  </si>
  <si>
    <t>Dugout2018_61B-MAY3</t>
  </si>
  <si>
    <t>Dugout2018_61C-SEPT25</t>
  </si>
  <si>
    <t>Dugout2018_61C-MAY15</t>
  </si>
  <si>
    <t>Dugout2018_61C-MAY3</t>
  </si>
  <si>
    <t>Dugout2018_61C-JULY10</t>
  </si>
  <si>
    <t>Dugout2018_62B-SEPT25</t>
  </si>
  <si>
    <t>Dugout2018_62B-MAY15</t>
  </si>
  <si>
    <t>Dugout2018_62B-MAY3</t>
  </si>
  <si>
    <t>Dugout2018_62C-SEPT25</t>
  </si>
  <si>
    <t>Dugout2018_62C-MAY15</t>
  </si>
  <si>
    <t>Dugout2018_62C-JULY10</t>
  </si>
  <si>
    <t>Dugout2018_62E-MAY3</t>
  </si>
  <si>
    <t>Dugout2018_62E-SEPT25</t>
  </si>
  <si>
    <t>Dugout2018_62E-MAY15</t>
  </si>
  <si>
    <t>Dugout2018_62E-JULY16</t>
  </si>
  <si>
    <t>Dugout2018_63C-MAY3</t>
  </si>
  <si>
    <t>Dugout2018_66A-SEPT24</t>
  </si>
  <si>
    <t>Dugout2018_66A-MAY14</t>
  </si>
  <si>
    <t>Dugout2018_66A-AUG9</t>
  </si>
  <si>
    <t>Dugout2018_66A-APR27</t>
  </si>
  <si>
    <t>Dugout2018_66A-JULY12</t>
  </si>
  <si>
    <t>Dugout2018_66A-JULY9</t>
  </si>
  <si>
    <t>Dugout2018_66B-APR27</t>
  </si>
  <si>
    <t>Dugout2018_66B-SEPT24</t>
  </si>
  <si>
    <t>Dugout2018_66B-JULY9</t>
  </si>
  <si>
    <t>Dugout2018_66B-MAY14</t>
  </si>
  <si>
    <t>Dugout2018_66C-APR27</t>
  </si>
  <si>
    <t>Dugout2018_66C-AUG9</t>
  </si>
  <si>
    <t>Dugout2018_66C-SEPT24</t>
  </si>
  <si>
    <t>Dugout2018_66C-JULY9</t>
  </si>
  <si>
    <t>Dugout2018_66C-JUNE12</t>
  </si>
  <si>
    <t>Dugout2018_6SB-JULY10</t>
  </si>
  <si>
    <t>Dugout2018_P1-AUG13</t>
  </si>
  <si>
    <t>Dugout2018_P103-AUG14</t>
  </si>
  <si>
    <t>Dugout2018_P109-AUG14</t>
  </si>
  <si>
    <t>Dugout2018_P118-AUG14</t>
  </si>
  <si>
    <t>Dugout2018_P120-AUG14</t>
  </si>
  <si>
    <t>Dugout2018_P124-AUG14</t>
  </si>
  <si>
    <t>Dugout2018_P125-AUG13</t>
  </si>
  <si>
    <t>Dugout2018_P20-AUG17</t>
  </si>
  <si>
    <t>Dugout2018_P26-AUG17</t>
  </si>
  <si>
    <t>Dugout2018_P35-AUG16</t>
  </si>
  <si>
    <t>Dugout2018_P37-AUG16</t>
  </si>
  <si>
    <t>Dugout2018_P50-AUG15</t>
  </si>
  <si>
    <t>Dugout2018_P66-AUG15</t>
  </si>
  <si>
    <t>Dugout2018_P67-AUG17</t>
  </si>
  <si>
    <t>Dugout2018_P70-AUG15</t>
  </si>
  <si>
    <t>Dugout2018_P75-AUG15</t>
  </si>
  <si>
    <t>Dugout2018_P88-AUG15</t>
  </si>
  <si>
    <t>Dugout2018_P90-AUG17</t>
  </si>
  <si>
    <t>Dugout2018_P97-AUG16</t>
  </si>
  <si>
    <t>Dugout2018_P98-AUG16</t>
  </si>
  <si>
    <t>SiteID</t>
  </si>
  <si>
    <t>TOC</t>
  </si>
  <si>
    <t>Dugout2018_4C 24 Hr-JULY26</t>
  </si>
  <si>
    <t>Dugout2018_62B-JULY10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</si>
</sst>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3" x14ac:knownFonts="1">
    <font>
      <sz val="11"/>
      <color theme="1"/>
      <name val="Calibri"/>
      <family val="2"/>
      <scheme val="minor"/>
    </font>
    <font>
      <sz val="11"/>
      <name val="Calibri"/>
      <family val="2"/>
      <scheme val="minor"/>
    </font>
    <font>
      <vertAlign val="superscript"/>
      <sz val="11"/>
      <name val="Calibri"/>
      <family val="2"/>
      <scheme val="minor"/>
    </font>
    <font>
      <b/>
      <sz val="9"/>
      <color indexed="81"/>
      <name val="Tahoma"/>
      <family val="2"/>
    </font>
    <font>
      <sz val="9"/>
      <color indexed="81"/>
      <name val="Tahoma"/>
      <family val="2"/>
    </font>
    <font>
      <u/>
      <sz val="11"/>
      <color theme="10"/>
      <name val="Calibri"/>
      <family val="2"/>
      <scheme val="minor"/>
    </font>
    <font>
      <u/>
      <sz val="11"/>
      <color theme="11"/>
      <name val="Calibri"/>
      <family val="2"/>
      <scheme val="minor"/>
    </font>
    <font>
      <sz val="10"/>
      <name val="Arial"/>
      <family val="2"/>
    </font>
    <font>
      <i/>
      <sz val="11"/>
      <color rgb="FF7F7F7F"/>
      <name val="Calibri"/>
      <family val="2"/>
      <scheme val="minor"/>
    </font>
    <font>
      <b/>
      <sz val="11"/>
      <color theme="1"/>
      <name val="Calibri"/>
      <family val="2"/>
      <scheme val="minor"/>
    </font>
    <font>
      <b/>
      <sz val="9"/>
      <color theme="1"/>
      <name val="Arial"/>
      <family val="2"/>
    </font>
    <font>
      <sz val="9"/>
      <color theme="1"/>
      <name val="Arial"/>
      <family val="2"/>
    </font>
    <font>
      <sz val="9"/>
      <color theme="1"/>
      <name val="Calibri"/>
      <family val="2"/>
      <scheme val="minor"/>
    </font>
  </fonts>
  <fills count="2">
    <fill>
      <patternFill patternType="none"/>
    </fill>
    <fill>
      <patternFill patternType="gray125"/>
    </fill>
  </fills>
  <borders count="2">
    <border>
      <left/>
      <right/>
      <top/>
      <bottom/>
      <diagonal/>
    </border>
    <border>
      <left/>
      <right/>
      <top/>
      <bottom style="double">
        <color auto="1"/>
      </bottom>
      <diagonal/>
    </border>
  </borders>
  <cellStyleXfs count="12">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8" fillId="0" borderId="0" applyNumberFormat="0" applyFill="0" applyBorder="0" applyAlignment="0" applyProtection="0"/>
  </cellStyleXfs>
  <cellXfs count="35">
    <xf numFmtId="0" fontId="0" fillId="0" borderId="0" xfId="0"/>
    <xf numFmtId="0" fontId="0" fillId="0" borderId="0" xfId="0" applyAlignment="1">
      <alignment wrapText="1"/>
    </xf>
    <xf numFmtId="2" fontId="0" fillId="0" borderId="0" xfId="0" applyNumberFormat="1" applyAlignment="1">
      <alignment wrapText="1"/>
    </xf>
    <xf numFmtId="164" fontId="1" fillId="0" borderId="0" xfId="0" applyNumberFormat="1" applyFont="1" applyAlignment="1">
      <alignment horizontal="center"/>
    </xf>
    <xf numFmtId="2" fontId="1" fillId="0" borderId="0" xfId="0" applyNumberFormat="1" applyFont="1" applyAlignment="1">
      <alignment horizontal="center"/>
    </xf>
    <xf numFmtId="2" fontId="0" fillId="0" borderId="0" xfId="0" applyNumberFormat="1" applyAlignment="1">
      <alignment horizontal="center" wrapText="1"/>
    </xf>
    <xf numFmtId="0" fontId="0" fillId="0" borderId="0" xfId="0" applyAlignment="1">
      <alignment horizontal="center" wrapText="1"/>
    </xf>
    <xf numFmtId="15" fontId="0" fillId="0" borderId="0" xfId="0" applyNumberFormat="1"/>
    <xf numFmtId="20" fontId="0" fillId="0" borderId="0" xfId="0" applyNumberFormat="1"/>
    <xf numFmtId="0" fontId="0" fillId="0" borderId="0" xfId="0" applyAlignment="1">
      <alignment horizontal="left"/>
    </xf>
    <xf numFmtId="0" fontId="0" fillId="0" borderId="0" xfId="0" applyAlignment="1">
      <alignment horizontal="left" wrapText="1"/>
    </xf>
    <xf numFmtId="0" fontId="7" fillId="0" borderId="0" xfId="0" applyFont="1"/>
    <xf numFmtId="0" fontId="8" fillId="0" borderId="0" xfId="11"/>
    <xf numFmtId="0" fontId="10" fillId="0" borderId="1" xfId="0" applyFont="1" applyBorder="1" applyAlignment="1">
      <alignment horizontal="center" wrapText="1"/>
    </xf>
    <xf numFmtId="165" fontId="10" fillId="0" borderId="1" xfId="0" applyNumberFormat="1" applyFont="1" applyBorder="1" applyAlignment="1">
      <alignment horizontal="center" wrapText="1"/>
    </xf>
    <xf numFmtId="2" fontId="10" fillId="0" borderId="1" xfId="0" applyNumberFormat="1" applyFont="1" applyBorder="1" applyAlignment="1">
      <alignment horizontal="center" wrapText="1"/>
    </xf>
    <xf numFmtId="2" fontId="0" fillId="0" borderId="0" xfId="0" applyNumberFormat="1"/>
    <xf numFmtId="49" fontId="11" fillId="0" borderId="0" xfId="0" applyNumberFormat="1" applyFont="1" applyAlignment="1">
      <alignment wrapText="1"/>
    </xf>
    <xf numFmtId="0" fontId="11" fillId="0" borderId="0" xfId="0" applyFont="1" applyAlignment="1">
      <alignment horizontal="right" wrapText="1"/>
    </xf>
    <xf numFmtId="165" fontId="11" fillId="0" borderId="0" xfId="0" applyNumberFormat="1" applyFont="1" applyAlignment="1">
      <alignment horizontal="right" wrapText="1"/>
    </xf>
    <xf numFmtId="2" fontId="11" fillId="0" borderId="0" xfId="0" applyNumberFormat="1" applyFont="1" applyAlignment="1">
      <alignment horizontal="right" wrapText="1"/>
    </xf>
    <xf numFmtId="49" fontId="11" fillId="0" borderId="0" xfId="0" applyNumberFormat="1" applyFont="1" applyAlignment="1">
      <alignment horizontal="left" wrapText="1"/>
    </xf>
    <xf numFmtId="0" fontId="11" fillId="0" borderId="0" xfId="0" applyFont="1" applyAlignment="1">
      <alignment wrapText="1"/>
    </xf>
    <xf numFmtId="165" fontId="0" fillId="0" borderId="0" xfId="0" applyNumberFormat="1"/>
    <xf numFmtId="0" fontId="11" fillId="0" borderId="0" xfId="0" applyFont="1"/>
    <xf numFmtId="0" fontId="12" fillId="0" borderId="0" xfId="0" applyFont="1"/>
    <xf numFmtId="165" fontId="12" fillId="0" borderId="0" xfId="0" applyNumberFormat="1" applyFont="1"/>
    <xf numFmtId="2" fontId="12" fillId="0" borderId="0" xfId="0" applyNumberFormat="1" applyFont="1"/>
    <xf numFmtId="0" fontId="9" fillId="0" borderId="1" xfId="0" applyFont="1" applyBorder="1" applyAlignment="1">
      <alignment horizontal="center" wrapText="1"/>
    </xf>
    <xf numFmtId="2" fontId="9" fillId="0" borderId="1" xfId="0" applyNumberFormat="1" applyFont="1" applyBorder="1" applyAlignment="1">
      <alignment horizontal="center" wrapText="1"/>
    </xf>
    <xf numFmtId="49" fontId="0" fillId="0" borderId="0" xfId="0" applyNumberFormat="1" applyAlignment="1">
      <alignment horizontal="left" wrapText="1"/>
    </xf>
    <xf numFmtId="2" fontId="0" fillId="0" borderId="0" xfId="0" applyNumberFormat="1" applyAlignment="1">
      <alignment horizontal="right" wrapText="1"/>
    </xf>
    <xf numFmtId="0" fontId="0" fillId="0" borderId="0" xfId="0" applyAlignment="1">
      <alignment horizontal="right" wrapText="1"/>
    </xf>
    <xf numFmtId="0" fontId="9" fillId="0" borderId="1" xfId="0" applyFont="1" applyBorder="1" applyAlignment="1">
      <alignment horizontal="center"/>
    </xf>
    <xf numFmtId="15" fontId="0" fillId="0" borderId="0" xfId="0" applyNumberFormat="1" applyAlignment="1">
      <alignment horizontal="right"/>
    </xf>
  </cellXfs>
  <cellStyles count="12">
    <cellStyle name="Explanatory Text" xfId="11" builtinId="53"/>
    <cellStyle name="Followed Hyperlink" xfId="10" builtinId="9" hidden="1"/>
    <cellStyle name="Followed Hyperlink" xfId="6" builtinId="9" hidden="1"/>
    <cellStyle name="Followed Hyperlink" xfId="8" builtinId="9" hidden="1"/>
    <cellStyle name="Followed Hyperlink" xfId="2" builtinId="9" hidden="1"/>
    <cellStyle name="Followed Hyperlink" xfId="4" builtinId="9" hidden="1"/>
    <cellStyle name="Hyperlink" xfId="5" builtinId="8" hidden="1"/>
    <cellStyle name="Hyperlink" xfId="9" builtinId="8" hidden="1"/>
    <cellStyle name="Hyperlink" xfId="7" builtinId="8" hidden="1"/>
    <cellStyle name="Hyperlink" xfId="1" builtinId="8" hidden="1"/>
    <cellStyle name="Hyperlink" xfId="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limno/Documents/Sydney/Wetlands/Buoyancy_max.csv"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imno/Documents/Sydney/Wetlands/Buoyancy_min.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oyancy_max"/>
    </sheetNames>
    <sheetDataSet>
      <sheetData sheetId="0">
        <row r="1">
          <cell r="B1" t="str">
            <v>Site_ID</v>
          </cell>
          <cell r="C1" t="str">
            <v>b.f.max</v>
          </cell>
        </row>
        <row r="2">
          <cell r="B2" t="str">
            <v>Pond1</v>
          </cell>
          <cell r="C2">
            <v>7.5616165244430495E-4</v>
          </cell>
        </row>
        <row r="3">
          <cell r="B3" t="str">
            <v>Pond103</v>
          </cell>
          <cell r="C3">
            <v>3.8293034641626602E-3</v>
          </cell>
        </row>
        <row r="4">
          <cell r="B4" t="str">
            <v>Pond109</v>
          </cell>
          <cell r="C4">
            <v>0</v>
          </cell>
        </row>
        <row r="5">
          <cell r="B5" t="str">
            <v>Pond118</v>
          </cell>
          <cell r="C5">
            <v>6.0316263057110398E-4</v>
          </cell>
        </row>
        <row r="6">
          <cell r="B6" t="str">
            <v>Pond120</v>
          </cell>
          <cell r="C6">
            <v>1.11979625047284E-2</v>
          </cell>
        </row>
        <row r="7">
          <cell r="B7" t="str">
            <v>Pond124</v>
          </cell>
          <cell r="C7">
            <v>3.1418047489732599E-3</v>
          </cell>
        </row>
        <row r="8">
          <cell r="B8" t="str">
            <v>Pond125</v>
          </cell>
          <cell r="C8">
            <v>0</v>
          </cell>
        </row>
        <row r="9">
          <cell r="B9" t="str">
            <v>Pond20</v>
          </cell>
          <cell r="C9">
            <v>3.0625086101390399E-2</v>
          </cell>
        </row>
        <row r="10">
          <cell r="B10" t="str">
            <v>Pond26</v>
          </cell>
          <cell r="C10">
            <v>7.3038616752415999E-4</v>
          </cell>
        </row>
        <row r="11">
          <cell r="B11" t="str">
            <v>Pond35</v>
          </cell>
          <cell r="C11">
            <v>3.7037620125680501E-4</v>
          </cell>
        </row>
        <row r="12">
          <cell r="B12" t="str">
            <v>Pond37</v>
          </cell>
          <cell r="C12">
            <v>0</v>
          </cell>
        </row>
        <row r="13">
          <cell r="B13" t="str">
            <v>Pond50</v>
          </cell>
          <cell r="C13">
            <v>0</v>
          </cell>
        </row>
        <row r="14">
          <cell r="B14" t="str">
            <v>Pond66</v>
          </cell>
          <cell r="C14">
            <v>7.2605768293974502E-4</v>
          </cell>
        </row>
        <row r="15">
          <cell r="B15" t="str">
            <v>Pond67</v>
          </cell>
          <cell r="C15">
            <v>2.68388621945091E-3</v>
          </cell>
        </row>
        <row r="16">
          <cell r="B16" t="str">
            <v>Pond70</v>
          </cell>
          <cell r="C16">
            <v>3.4222783597658398E-4</v>
          </cell>
        </row>
        <row r="17">
          <cell r="B17" t="str">
            <v>Pond75</v>
          </cell>
          <cell r="C17">
            <v>7.0645703440447597E-4</v>
          </cell>
        </row>
        <row r="18">
          <cell r="B18" t="str">
            <v>Pond88</v>
          </cell>
          <cell r="C18">
            <v>1.28394398965899E-3</v>
          </cell>
        </row>
        <row r="19">
          <cell r="B19" t="str">
            <v>Pond90</v>
          </cell>
          <cell r="C19">
            <v>7.6468010217423501E-4</v>
          </cell>
        </row>
        <row r="20">
          <cell r="B20" t="str">
            <v>Pond97</v>
          </cell>
          <cell r="C20">
            <v>3.5977092871064298E-4</v>
          </cell>
        </row>
        <row r="21">
          <cell r="B21" t="str">
            <v>Pond98</v>
          </cell>
          <cell r="C21">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oyancy_min"/>
    </sheetNames>
    <sheetDataSet>
      <sheetData sheetId="0">
        <row r="1">
          <cell r="B1" t="str">
            <v>Site_ID</v>
          </cell>
          <cell r="C1" t="str">
            <v>b.f.min</v>
          </cell>
        </row>
        <row r="2">
          <cell r="B2" t="str">
            <v>Pond1</v>
          </cell>
          <cell r="C2">
            <v>0</v>
          </cell>
        </row>
        <row r="3">
          <cell r="B3" t="str">
            <v>Pond103</v>
          </cell>
          <cell r="C3">
            <v>3.8293034641626602E-3</v>
          </cell>
        </row>
        <row r="4">
          <cell r="B4" t="str">
            <v>Pond109</v>
          </cell>
          <cell r="C4">
            <v>0</v>
          </cell>
        </row>
        <row r="5">
          <cell r="B5" t="str">
            <v>Pond118</v>
          </cell>
          <cell r="C5">
            <v>6.0316263057110398E-4</v>
          </cell>
        </row>
        <row r="6">
          <cell r="B6" t="str">
            <v>Pond120</v>
          </cell>
          <cell r="C6">
            <v>1.11979625047284E-2</v>
          </cell>
        </row>
        <row r="7">
          <cell r="B7" t="str">
            <v>Pond124</v>
          </cell>
          <cell r="C7">
            <v>3.2661887030843598E-4</v>
          </cell>
        </row>
        <row r="8">
          <cell r="B8" t="str">
            <v>Pond125</v>
          </cell>
          <cell r="C8">
            <v>-3.6626377323008101E-4</v>
          </cell>
        </row>
        <row r="9">
          <cell r="B9" t="str">
            <v>Pond20</v>
          </cell>
          <cell r="C9">
            <v>3.5651452304399202E-3</v>
          </cell>
        </row>
        <row r="10">
          <cell r="B10" t="str">
            <v>Pond26</v>
          </cell>
          <cell r="C10">
            <v>0</v>
          </cell>
        </row>
        <row r="11">
          <cell r="B11" t="str">
            <v>Pond35</v>
          </cell>
          <cell r="C11">
            <v>3.7037620125680501E-4</v>
          </cell>
        </row>
        <row r="12">
          <cell r="B12" t="str">
            <v>Pond37</v>
          </cell>
          <cell r="C12">
            <v>0</v>
          </cell>
        </row>
        <row r="13">
          <cell r="B13" t="str">
            <v>Pond50</v>
          </cell>
          <cell r="C13">
            <v>0</v>
          </cell>
        </row>
        <row r="14">
          <cell r="B14" t="str">
            <v>Pond66</v>
          </cell>
          <cell r="C14">
            <v>0</v>
          </cell>
        </row>
        <row r="15">
          <cell r="B15" t="str">
            <v>Pond67</v>
          </cell>
          <cell r="C15">
            <v>3.6410875953395502E-4</v>
          </cell>
        </row>
        <row r="16">
          <cell r="B16" t="str">
            <v>Pond70</v>
          </cell>
          <cell r="C16">
            <v>3.4222783597658398E-4</v>
          </cell>
        </row>
        <row r="17">
          <cell r="B17" t="str">
            <v>Pond75</v>
          </cell>
          <cell r="C17">
            <v>0</v>
          </cell>
        </row>
        <row r="18">
          <cell r="B18" t="str">
            <v>Pond88</v>
          </cell>
          <cell r="C18">
            <v>1.28394398965899E-3</v>
          </cell>
        </row>
        <row r="19">
          <cell r="B19" t="str">
            <v>Pond90</v>
          </cell>
          <cell r="C19">
            <v>0</v>
          </cell>
        </row>
        <row r="20">
          <cell r="B20" t="str">
            <v>Pond97</v>
          </cell>
          <cell r="C20">
            <v>3.57594903326133E-4</v>
          </cell>
        </row>
        <row r="21">
          <cell r="B21" t="str">
            <v>Pond98</v>
          </cell>
          <cell r="C21">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72"/>
  <sheetViews>
    <sheetView tabSelected="1" workbookViewId="0">
      <pane xSplit="1" topLeftCell="B1" activePane="topRight" state="frozen"/>
      <selection pane="topRight" activeCell="AU30" sqref="AU30"/>
    </sheetView>
  </sheetViews>
  <sheetFormatPr defaultColWidth="8.85546875" defaultRowHeight="15" x14ac:dyDescent="0.25"/>
  <cols>
    <col min="1" max="1" width="8.85546875" style="9"/>
    <col min="3" max="3" width="12" customWidth="1"/>
    <col min="4" max="4" width="12.42578125" customWidth="1"/>
    <col min="6" max="6" width="9.140625" bestFit="1" customWidth="1"/>
    <col min="78" max="78" width="174.7109375" bestFit="1" customWidth="1"/>
  </cols>
  <sheetData>
    <row r="1" spans="1:86" s="1" customFormat="1" ht="45" x14ac:dyDescent="0.25">
      <c r="A1" s="10"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2" t="s">
        <v>29</v>
      </c>
      <c r="AE1" s="1" t="s">
        <v>30</v>
      </c>
      <c r="AF1" s="1" t="s">
        <v>31</v>
      </c>
      <c r="AG1" s="1" t="s">
        <v>32</v>
      </c>
      <c r="AH1" s="1" t="s">
        <v>33</v>
      </c>
      <c r="AI1" s="1" t="s">
        <v>34</v>
      </c>
      <c r="AJ1" s="1" t="s">
        <v>35</v>
      </c>
      <c r="AK1" s="1" t="s">
        <v>36</v>
      </c>
      <c r="AL1" s="2" t="s">
        <v>37</v>
      </c>
      <c r="AM1" s="2" t="s">
        <v>38</v>
      </c>
      <c r="AN1" s="5" t="s">
        <v>39</v>
      </c>
      <c r="AO1" s="6" t="s">
        <v>40</v>
      </c>
      <c r="AP1" s="5" t="s">
        <v>41</v>
      </c>
      <c r="AQ1" t="s">
        <v>42</v>
      </c>
      <c r="AR1" t="s">
        <v>43</v>
      </c>
      <c r="A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3" t="s">
        <v>58</v>
      </c>
      <c r="BH1" s="3" t="s">
        <v>59</v>
      </c>
      <c r="BI1" s="4" t="s">
        <v>60</v>
      </c>
      <c r="BJ1" s="3" t="s">
        <v>61</v>
      </c>
      <c r="BK1" s="4" t="s">
        <v>62</v>
      </c>
      <c r="BL1" s="4" t="s">
        <v>63</v>
      </c>
      <c r="BM1" s="3" t="s">
        <v>64</v>
      </c>
      <c r="BN1" s="3" t="s">
        <v>65</v>
      </c>
      <c r="BO1" s="3" t="s">
        <v>66</v>
      </c>
      <c r="BP1" s="4" t="s">
        <v>67</v>
      </c>
      <c r="BQ1" s="3" t="s">
        <v>68</v>
      </c>
      <c r="BR1" s="4" t="s">
        <v>69</v>
      </c>
      <c r="BS1" s="4" t="s">
        <v>70</v>
      </c>
      <c r="BT1" s="4" t="s">
        <v>71</v>
      </c>
      <c r="BU1" s="4" t="s">
        <v>72</v>
      </c>
      <c r="BV1" s="4" t="s">
        <v>73</v>
      </c>
      <c r="BW1" s="4" t="s">
        <v>74</v>
      </c>
      <c r="BX1" s="4" t="s">
        <v>75</v>
      </c>
      <c r="BY1" s="4" t="s">
        <v>76</v>
      </c>
      <c r="BZ1" s="1" t="s">
        <v>77</v>
      </c>
      <c r="CA1" s="1" t="s">
        <v>78</v>
      </c>
      <c r="CB1" s="1" t="s">
        <v>79</v>
      </c>
      <c r="CC1" s="1" t="s">
        <v>80</v>
      </c>
      <c r="CD1" t="s">
        <v>81</v>
      </c>
      <c r="CE1" s="1" t="s">
        <v>82</v>
      </c>
      <c r="CF1" s="1" t="s">
        <v>83</v>
      </c>
      <c r="CG1" s="1" t="s">
        <v>84</v>
      </c>
      <c r="CH1" s="1" t="s">
        <v>85</v>
      </c>
    </row>
    <row r="2" spans="1:86" x14ac:dyDescent="0.25">
      <c r="A2" s="9" t="s">
        <v>252</v>
      </c>
      <c r="C2" t="str">
        <f>A2&amp;D2</f>
        <v>P9743328</v>
      </c>
      <c r="D2" s="7">
        <v>43328</v>
      </c>
      <c r="E2" s="8">
        <v>0.46875</v>
      </c>
      <c r="F2">
        <v>52.209589999999999</v>
      </c>
      <c r="G2">
        <v>-106.07787999999999</v>
      </c>
      <c r="H2">
        <v>19.100000000000001</v>
      </c>
      <c r="I2">
        <v>100</v>
      </c>
      <c r="J2">
        <v>14.3</v>
      </c>
      <c r="K2" t="s">
        <v>86</v>
      </c>
      <c r="L2">
        <v>1.1000000000000001</v>
      </c>
      <c r="M2">
        <v>1.1000000000000001</v>
      </c>
      <c r="N2">
        <v>1</v>
      </c>
      <c r="O2">
        <v>92.2</v>
      </c>
      <c r="P2">
        <v>0</v>
      </c>
      <c r="Q2">
        <v>0</v>
      </c>
      <c r="R2">
        <v>17.899999999999999</v>
      </c>
      <c r="S2">
        <v>43.8</v>
      </c>
      <c r="T2">
        <v>4.13</v>
      </c>
      <c r="U2">
        <v>2804</v>
      </c>
      <c r="V2">
        <v>1.46</v>
      </c>
      <c r="W2">
        <v>8.18</v>
      </c>
      <c r="X2">
        <v>17.7</v>
      </c>
      <c r="Y2">
        <v>35.200000000000003</v>
      </c>
      <c r="Z2">
        <v>3.34</v>
      </c>
      <c r="AA2">
        <v>2805</v>
      </c>
      <c r="AB2">
        <v>1.46</v>
      </c>
      <c r="AC2">
        <v>8.16</v>
      </c>
      <c r="AD2">
        <f>IF(U2&gt;717.5,(-0.000000000005886729*U2^3)+(0.000001573823009374*U2^2)+( 0.564100864596031*U2)-32.0598990943585, (- 0.00000003351240016*U2^3)+(0.000049948901244919*U2^2)+( 0.500944688449521*U2)-0.00823364899058809)</f>
        <v>1561.9231963529573</v>
      </c>
      <c r="AE2">
        <v>716.1</v>
      </c>
      <c r="AK2" t="s">
        <v>108</v>
      </c>
      <c r="AL2">
        <v>48.569236583333343</v>
      </c>
      <c r="AM2">
        <v>44.579215500000011</v>
      </c>
      <c r="AN2">
        <f>VLOOKUP(C2, Triplex!$1:$1048576, 5, FALSE)</f>
        <v>0.52</v>
      </c>
      <c r="AO2">
        <f>VLOOKUP(C2, Triplex!$1:$1048576, 6, FALSE)</f>
        <v>0.38</v>
      </c>
      <c r="AP2">
        <f>VLOOKUP(C2, Triplex!$1:$1048576, 7, FALSE)</f>
        <v>51.18</v>
      </c>
      <c r="AQ2">
        <f>VLOOKUP($C2, TN_TP!$1:$1048576, 6, FALSE)</f>
        <v>0.43</v>
      </c>
      <c r="AR2">
        <f>VLOOKUP($C2, TN_TP!$1:$1048576, 5, FALSE)</f>
        <v>2920</v>
      </c>
      <c r="AT2">
        <f>VLOOKUP($C2, TIC!$1:$1048576, 6, FALSE)</f>
        <v>67.567999999999998</v>
      </c>
      <c r="AV2">
        <f>VLOOKUP($C2, TOC!$1:$1048576, 6, FALSE)</f>
        <v>30.564</v>
      </c>
      <c r="AX2">
        <v>2188.8040167758199</v>
      </c>
      <c r="AY2">
        <v>85.243882003752603</v>
      </c>
      <c r="AZ2">
        <v>0.336708971696487</v>
      </c>
      <c r="BA2">
        <v>151.34576552643</v>
      </c>
      <c r="BB2">
        <v>0.228286030385911</v>
      </c>
      <c r="BC2">
        <v>6.9976415186638705E-4</v>
      </c>
      <c r="BD2">
        <v>0.38156430240958</v>
      </c>
      <c r="BE2">
        <v>10.957650195091899</v>
      </c>
      <c r="BF2">
        <v>6.7424017301631806E-2</v>
      </c>
      <c r="BZ2" t="s">
        <v>87</v>
      </c>
      <c r="CG2" t="e">
        <f>VLOOKUP($A2, [1]Buoyancy_max!$B$1:$C$21, 2, FALSE)</f>
        <v>#N/A</v>
      </c>
      <c r="CH2" t="e">
        <f>VLOOKUP(A2, [2]Buoyancy_min!$B$1:$C$21, 2, FALSE)</f>
        <v>#N/A</v>
      </c>
    </row>
    <row r="3" spans="1:86" x14ac:dyDescent="0.25">
      <c r="A3" t="s">
        <v>242</v>
      </c>
      <c r="C3" t="str">
        <f>A3&amp;D3</f>
        <v>P2643329</v>
      </c>
      <c r="D3" s="7">
        <v>43329</v>
      </c>
      <c r="E3" s="8">
        <v>0.4236111111111111</v>
      </c>
      <c r="F3">
        <v>52.210979999999999</v>
      </c>
      <c r="G3">
        <v>-106.10072</v>
      </c>
      <c r="H3">
        <v>20.6</v>
      </c>
      <c r="I3">
        <v>15</v>
      </c>
      <c r="J3">
        <v>2.1</v>
      </c>
      <c r="K3" t="s">
        <v>86</v>
      </c>
      <c r="L3">
        <v>0.32</v>
      </c>
      <c r="M3">
        <v>2.2999999999999998</v>
      </c>
      <c r="N3">
        <v>2</v>
      </c>
      <c r="O3">
        <v>92.5</v>
      </c>
      <c r="P3">
        <v>0</v>
      </c>
      <c r="Q3">
        <v>0</v>
      </c>
      <c r="R3">
        <v>18.2</v>
      </c>
      <c r="S3">
        <v>40.1</v>
      </c>
      <c r="T3">
        <v>3.73</v>
      </c>
      <c r="U3">
        <v>3228</v>
      </c>
      <c r="V3">
        <v>1.7</v>
      </c>
      <c r="W3">
        <v>8.69</v>
      </c>
      <c r="X3">
        <v>17.7</v>
      </c>
      <c r="Y3">
        <v>8</v>
      </c>
      <c r="Z3">
        <v>0.76</v>
      </c>
      <c r="AA3">
        <v>3223</v>
      </c>
      <c r="AB3">
        <v>1.69</v>
      </c>
      <c r="AC3">
        <v>8.6300000000000008</v>
      </c>
      <c r="AD3">
        <f t="shared" ref="AD3:AD21" si="0">IF(U3&gt;717.5,(-0.000000000005886729*U3^3)+(0.000001573823009374*U3^2)+( 0.564100864596031*U3)-32.0598990943585, (- 0.00000003351240016*U3^3)+(0.000049948901244919*U3^2)+( 0.500944688449521*U3)-0.00823364899058809)</f>
        <v>1805.0588980983473</v>
      </c>
      <c r="AE3">
        <v>712.8</v>
      </c>
      <c r="AK3" t="s">
        <v>108</v>
      </c>
      <c r="AL3">
        <v>73.608567600000001</v>
      </c>
      <c r="AM3">
        <v>75.456494399999997</v>
      </c>
      <c r="AN3">
        <f>VLOOKUP(C3, Triplex!$1:$1048576, 5, FALSE)</f>
        <v>1.29</v>
      </c>
      <c r="AO3">
        <f>VLOOKUP(C3, Triplex!$1:$1048576, 6, FALSE)</f>
        <v>0.02</v>
      </c>
      <c r="AP3">
        <f>VLOOKUP(C3, Triplex!$1:$1048576, 7, FALSE)</f>
        <v>8.7899999999999991</v>
      </c>
      <c r="AQ3">
        <f>VLOOKUP($C3, TN_TP!$1:$1048576, 6, FALSE)</f>
        <v>0.09</v>
      </c>
      <c r="AR3">
        <f>VLOOKUP($C3, TN_TP!$1:$1048576, 5, FALSE)</f>
        <v>5810</v>
      </c>
      <c r="AT3">
        <f>VLOOKUP($C3, TIC!$1:$1048576, 6, FALSE)</f>
        <v>71.105999999999995</v>
      </c>
      <c r="AV3">
        <f>VLOOKUP($C3, TOC!$1:$1048576, 6, FALSE)</f>
        <v>50.244</v>
      </c>
      <c r="AX3">
        <v>630.46271030489095</v>
      </c>
      <c r="AY3">
        <v>24.193164219801101</v>
      </c>
      <c r="AZ3">
        <v>0.161194711936267</v>
      </c>
      <c r="BA3">
        <v>793.61573642465896</v>
      </c>
      <c r="BB3">
        <v>1.18224903684118</v>
      </c>
      <c r="BC3">
        <v>1.28329198242515E-2</v>
      </c>
      <c r="BD3">
        <v>0.26960312570072198</v>
      </c>
      <c r="BE3">
        <v>7.6229219201198903</v>
      </c>
      <c r="BF3">
        <v>7.27505670633877E-2</v>
      </c>
      <c r="BZ3" t="s">
        <v>88</v>
      </c>
      <c r="CG3" t="e">
        <f>VLOOKUP($A3, [1]Buoyancy_max!$B$1:$C$21, 2, FALSE)</f>
        <v>#N/A</v>
      </c>
      <c r="CH3" t="e">
        <f>VLOOKUP(A3, [2]Buoyancy_min!$B$1:$C$21, 2, FALSE)</f>
        <v>#N/A</v>
      </c>
    </row>
    <row r="4" spans="1:86" x14ac:dyDescent="0.25">
      <c r="A4" t="s">
        <v>241</v>
      </c>
      <c r="C4" t="str">
        <f t="shared" ref="C4:C21" si="1">A4&amp;D4</f>
        <v>P2043329</v>
      </c>
      <c r="D4" s="7">
        <v>43329</v>
      </c>
      <c r="E4" s="8">
        <v>0.48194444444444445</v>
      </c>
      <c r="F4">
        <v>52.21152</v>
      </c>
      <c r="G4">
        <v>-106.09896000000001</v>
      </c>
      <c r="H4">
        <v>28.1</v>
      </c>
      <c r="I4">
        <v>10</v>
      </c>
      <c r="J4">
        <v>1.6</v>
      </c>
      <c r="K4" t="s">
        <v>86</v>
      </c>
      <c r="L4">
        <v>0.81</v>
      </c>
      <c r="M4">
        <v>0.81</v>
      </c>
      <c r="N4">
        <v>0.75</v>
      </c>
      <c r="O4">
        <v>96.7</v>
      </c>
      <c r="P4">
        <v>0</v>
      </c>
      <c r="Q4">
        <v>0</v>
      </c>
      <c r="R4">
        <v>18.2</v>
      </c>
      <c r="S4">
        <v>112.1</v>
      </c>
      <c r="T4">
        <v>11.44</v>
      </c>
      <c r="U4">
        <v>2603</v>
      </c>
      <c r="V4">
        <v>1.36</v>
      </c>
      <c r="W4">
        <v>9.4499999999999993</v>
      </c>
      <c r="X4">
        <v>11.8</v>
      </c>
      <c r="Y4">
        <v>80.900000000000006</v>
      </c>
      <c r="Z4">
        <v>7.79</v>
      </c>
      <c r="AA4">
        <v>2586</v>
      </c>
      <c r="AB4">
        <v>1.34</v>
      </c>
      <c r="AC4">
        <v>9.36</v>
      </c>
      <c r="AD4">
        <f t="shared" si="0"/>
        <v>1446.8544370849281</v>
      </c>
      <c r="AE4">
        <v>712.8</v>
      </c>
      <c r="AK4" t="s">
        <v>108</v>
      </c>
      <c r="AL4">
        <v>-4.2966410833333342</v>
      </c>
      <c r="AM4">
        <v>0.48811024999999986</v>
      </c>
      <c r="AN4">
        <f>VLOOKUP(C4, Triplex!$1:$1048576, 5, FALSE)</f>
        <v>0.09</v>
      </c>
      <c r="AO4">
        <f>VLOOKUP(C4, Triplex!$1:$1048576, 6, FALSE)</f>
        <v>0.06</v>
      </c>
      <c r="AP4">
        <f>VLOOKUP(C4, Triplex!$1:$1048576, 7, FALSE)</f>
        <v>3.66</v>
      </c>
      <c r="AQ4">
        <f>VLOOKUP($C4, TN_TP!$1:$1048576, 6, FALSE)</f>
        <v>0.1</v>
      </c>
      <c r="AR4">
        <f>VLOOKUP($C4, TN_TP!$1:$1048576, 5, FALSE)</f>
        <v>2920</v>
      </c>
      <c r="AT4">
        <f>VLOOKUP($C4, TIC!$1:$1048576, 6, FALSE)</f>
        <v>49.2</v>
      </c>
      <c r="AV4">
        <f>VLOOKUP($C4, TOC!$1:$1048576, 6, FALSE)</f>
        <v>36.597999999999999</v>
      </c>
      <c r="AX4">
        <v>62.457391163523802</v>
      </c>
      <c r="AY4">
        <v>2.4005728916217599</v>
      </c>
      <c r="AZ4">
        <v>7.9573208825733002E-2</v>
      </c>
      <c r="BA4">
        <v>191.42651177322901</v>
      </c>
      <c r="BB4">
        <v>0.28578238995356298</v>
      </c>
      <c r="BC4">
        <v>2.7220221286193701E-3</v>
      </c>
      <c r="BD4">
        <v>0.220587550377633</v>
      </c>
      <c r="BE4">
        <v>6.2498065999734704</v>
      </c>
      <c r="BF4">
        <v>5.6671746299580397E-2</v>
      </c>
      <c r="BZ4" t="s">
        <v>89</v>
      </c>
      <c r="CG4" t="e">
        <f>VLOOKUP($A4, [1]Buoyancy_max!$B$1:$C$21, 2, FALSE)</f>
        <v>#N/A</v>
      </c>
      <c r="CH4" t="e">
        <f>VLOOKUP(A4, [2]Buoyancy_min!$B$1:$C$21, 2, FALSE)</f>
        <v>#N/A</v>
      </c>
    </row>
    <row r="5" spans="1:86" x14ac:dyDescent="0.25">
      <c r="A5" t="s">
        <v>247</v>
      </c>
      <c r="C5" t="str">
        <f t="shared" si="1"/>
        <v>P6743329</v>
      </c>
      <c r="D5" s="7">
        <v>43329</v>
      </c>
      <c r="E5" s="8">
        <v>0.4513888888888889</v>
      </c>
      <c r="F5">
        <v>52.208770000000001</v>
      </c>
      <c r="G5">
        <v>-106.0975</v>
      </c>
      <c r="H5">
        <v>22.6</v>
      </c>
      <c r="I5">
        <v>10</v>
      </c>
      <c r="J5">
        <v>1.3</v>
      </c>
      <c r="K5" t="s">
        <v>86</v>
      </c>
      <c r="L5">
        <v>0.115</v>
      </c>
      <c r="M5">
        <v>2</v>
      </c>
      <c r="N5">
        <v>1.75</v>
      </c>
      <c r="O5">
        <v>90.5</v>
      </c>
      <c r="P5">
        <v>0</v>
      </c>
      <c r="Q5">
        <v>0</v>
      </c>
      <c r="R5">
        <v>19.2</v>
      </c>
      <c r="S5">
        <v>111.3</v>
      </c>
      <c r="T5">
        <v>10.07</v>
      </c>
      <c r="U5">
        <v>5891</v>
      </c>
      <c r="V5">
        <v>3.21</v>
      </c>
      <c r="W5">
        <v>8.67</v>
      </c>
      <c r="X5">
        <v>17.899999999999999</v>
      </c>
      <c r="Y5">
        <v>53.2</v>
      </c>
      <c r="Z5">
        <v>4.95</v>
      </c>
      <c r="AA5">
        <v>5892</v>
      </c>
      <c r="AB5">
        <v>3.21</v>
      </c>
      <c r="AC5">
        <v>8.61</v>
      </c>
      <c r="AD5">
        <f t="shared" si="0"/>
        <v>3344.4725744824195</v>
      </c>
      <c r="AE5">
        <v>713.3</v>
      </c>
      <c r="AK5" t="s">
        <v>108</v>
      </c>
      <c r="AL5">
        <v>131.4503224</v>
      </c>
      <c r="AM5">
        <v>137.15562360000001</v>
      </c>
      <c r="AN5">
        <f>VLOOKUP(C5, Triplex!$1:$1048576, 5, FALSE)</f>
        <v>0.05</v>
      </c>
      <c r="AO5">
        <f>VLOOKUP(C5, Triplex!$1:$1048576, 6, FALSE)</f>
        <v>0.02</v>
      </c>
      <c r="AP5">
        <f>VLOOKUP(C5, Triplex!$1:$1048576, 7, FALSE)</f>
        <v>7.36</v>
      </c>
      <c r="AQ5">
        <f>VLOOKUP($C5, TN_TP!$1:$1048576, 6, FALSE)</f>
        <v>0.11</v>
      </c>
      <c r="AR5">
        <f>VLOOKUP($C5, TN_TP!$1:$1048576, 5, FALSE)</f>
        <v>4480</v>
      </c>
      <c r="AT5">
        <f>VLOOKUP($C5, TIC!$1:$1048576, 6, FALSE)</f>
        <v>88.531999999999996</v>
      </c>
      <c r="AV5">
        <f>VLOOKUP($C5, TOC!$1:$1048576, 6, FALSE)</f>
        <v>50.898000000000003</v>
      </c>
      <c r="AX5">
        <v>644.14163160288899</v>
      </c>
      <c r="AY5">
        <v>23.839575921732902</v>
      </c>
      <c r="AZ5">
        <v>0.11719601223624</v>
      </c>
      <c r="BA5">
        <v>356.12664534551101</v>
      </c>
      <c r="BB5">
        <v>0.515075304513264</v>
      </c>
      <c r="BC5">
        <v>4.0903490148164303E-3</v>
      </c>
      <c r="BD5">
        <v>0.249640097838951</v>
      </c>
      <c r="BE5">
        <v>6.7843012717778004</v>
      </c>
      <c r="BF5">
        <v>2.2857451777712898E-2</v>
      </c>
      <c r="BZ5" t="s">
        <v>90</v>
      </c>
      <c r="CG5" t="e">
        <f>VLOOKUP($A5, [1]Buoyancy_max!$B$1:$C$21, 2, FALSE)</f>
        <v>#N/A</v>
      </c>
      <c r="CH5" t="e">
        <f>VLOOKUP(A5, [2]Buoyancy_min!$B$1:$C$21, 2, FALSE)</f>
        <v>#N/A</v>
      </c>
    </row>
    <row r="6" spans="1:86" x14ac:dyDescent="0.25">
      <c r="A6" t="s">
        <v>251</v>
      </c>
      <c r="C6" t="str">
        <f t="shared" si="1"/>
        <v>P9043329</v>
      </c>
      <c r="D6" s="7">
        <v>43329</v>
      </c>
      <c r="E6" s="8">
        <v>0.3888888888888889</v>
      </c>
      <c r="F6">
        <v>52.204279999999997</v>
      </c>
      <c r="G6">
        <v>-106.08038000000001</v>
      </c>
      <c r="H6">
        <v>18.2</v>
      </c>
      <c r="I6">
        <v>15</v>
      </c>
      <c r="J6">
        <v>1.1000000000000001</v>
      </c>
      <c r="K6" t="s">
        <v>86</v>
      </c>
      <c r="L6">
        <v>0.28999999999999998</v>
      </c>
      <c r="M6">
        <v>4.0999999999999996</v>
      </c>
      <c r="N6">
        <v>4</v>
      </c>
      <c r="O6">
        <v>92.7</v>
      </c>
      <c r="P6">
        <v>0</v>
      </c>
      <c r="Q6">
        <v>0</v>
      </c>
      <c r="R6">
        <v>19</v>
      </c>
      <c r="S6">
        <v>68.900000000000006</v>
      </c>
      <c r="T6">
        <v>6.33</v>
      </c>
      <c r="U6">
        <v>2851</v>
      </c>
      <c r="V6">
        <v>1.49</v>
      </c>
      <c r="W6">
        <v>8.56</v>
      </c>
      <c r="X6">
        <v>18.7</v>
      </c>
      <c r="Y6">
        <v>45.8</v>
      </c>
      <c r="Z6">
        <v>4.24</v>
      </c>
      <c r="AA6">
        <v>2848</v>
      </c>
      <c r="AB6">
        <v>1.49</v>
      </c>
      <c r="AC6">
        <v>8.52</v>
      </c>
      <c r="AD6">
        <f t="shared" si="0"/>
        <v>1588.8475995068741</v>
      </c>
      <c r="AE6">
        <v>713.3</v>
      </c>
      <c r="AK6" t="s">
        <v>108</v>
      </c>
      <c r="AL6">
        <v>69.238971666666657</v>
      </c>
      <c r="AM6">
        <v>78.585118333333327</v>
      </c>
      <c r="AN6">
        <f>VLOOKUP(C6, Triplex!$1:$1048576, 5, FALSE)</f>
        <v>0.08</v>
      </c>
      <c r="AO6">
        <f>VLOOKUP(C6, Triplex!$1:$1048576, 6, FALSE)</f>
        <v>0.05</v>
      </c>
      <c r="AP6">
        <f>VLOOKUP(C6, Triplex!$1:$1048576, 7, FALSE)</f>
        <v>2.99</v>
      </c>
      <c r="AQ6">
        <f>VLOOKUP($C6, TN_TP!$1:$1048576, 6, FALSE)</f>
        <v>0.09</v>
      </c>
      <c r="AR6">
        <f>VLOOKUP($C6, TN_TP!$1:$1048576, 5, FALSE)</f>
        <v>2790</v>
      </c>
      <c r="AT6">
        <f>VLOOKUP($C6, TIC!$1:$1048576, 6, FALSE)</f>
        <v>69.076999999999998</v>
      </c>
      <c r="AV6">
        <f>VLOOKUP($C6, TOC!$1:$1048576, 6, FALSE)</f>
        <v>34.155000000000001</v>
      </c>
      <c r="AX6">
        <v>748.09015491398998</v>
      </c>
      <c r="AY6">
        <v>28.0767903113355</v>
      </c>
      <c r="AZ6">
        <v>0.37722592809433197</v>
      </c>
      <c r="BA6">
        <v>442.21064661335498</v>
      </c>
      <c r="BB6">
        <v>0.64920382227977702</v>
      </c>
      <c r="BC6">
        <v>4.7301466983025297E-3</v>
      </c>
      <c r="BD6">
        <v>0.25268382321848698</v>
      </c>
      <c r="BE6">
        <v>6.9813599515739897</v>
      </c>
      <c r="BF6">
        <v>0.14776250430727</v>
      </c>
      <c r="BZ6" t="s">
        <v>91</v>
      </c>
      <c r="CG6" t="e">
        <f>VLOOKUP($A6, [1]Buoyancy_max!$B$1:$C$21, 2, FALSE)</f>
        <v>#N/A</v>
      </c>
      <c r="CH6" t="e">
        <f>VLOOKUP(A6, [2]Buoyancy_min!$B$1:$C$21, 2, FALSE)</f>
        <v>#N/A</v>
      </c>
    </row>
    <row r="7" spans="1:86" x14ac:dyDescent="0.25">
      <c r="A7" t="s">
        <v>253</v>
      </c>
      <c r="C7" t="str">
        <f t="shared" si="1"/>
        <v>P9843328</v>
      </c>
      <c r="D7" s="7">
        <v>43328</v>
      </c>
      <c r="E7" s="8">
        <v>0.44861111111111113</v>
      </c>
      <c r="F7">
        <v>52.208559999999999</v>
      </c>
      <c r="G7">
        <v>-106.07855000000001</v>
      </c>
      <c r="H7">
        <v>19.3</v>
      </c>
      <c r="I7">
        <v>100</v>
      </c>
      <c r="J7">
        <v>9</v>
      </c>
      <c r="K7" t="s">
        <v>86</v>
      </c>
      <c r="L7">
        <v>1</v>
      </c>
      <c r="M7">
        <v>1</v>
      </c>
      <c r="N7">
        <v>0.5</v>
      </c>
      <c r="O7">
        <v>95.3</v>
      </c>
      <c r="P7">
        <v>0</v>
      </c>
      <c r="Q7">
        <v>0</v>
      </c>
      <c r="R7">
        <v>17.2</v>
      </c>
      <c r="S7">
        <v>43</v>
      </c>
      <c r="T7">
        <v>4.0999999999999996</v>
      </c>
      <c r="U7">
        <v>2818</v>
      </c>
      <c r="V7">
        <v>1.47</v>
      </c>
      <c r="W7">
        <v>8.31</v>
      </c>
      <c r="X7">
        <v>17.2</v>
      </c>
      <c r="Y7">
        <v>40.9</v>
      </c>
      <c r="Z7">
        <v>3.88</v>
      </c>
      <c r="AA7">
        <v>2818</v>
      </c>
      <c r="AB7">
        <v>1.47</v>
      </c>
      <c r="AC7">
        <v>8.31</v>
      </c>
      <c r="AD7">
        <f t="shared" si="0"/>
        <v>1569.9425272724986</v>
      </c>
      <c r="AE7">
        <v>716.2</v>
      </c>
      <c r="AK7" t="s">
        <v>108</v>
      </c>
      <c r="AL7">
        <v>2.5648534472222226</v>
      </c>
      <c r="AM7">
        <v>2.8617202750000001</v>
      </c>
      <c r="AN7">
        <f>VLOOKUP(C7, Triplex!$1:$1048576, 5, FALSE)</f>
        <v>0.25</v>
      </c>
      <c r="AO7">
        <f>VLOOKUP(C7, Triplex!$1:$1048576, 6, FALSE)</f>
        <v>0.38</v>
      </c>
      <c r="AP7">
        <f>VLOOKUP(C7, Triplex!$1:$1048576, 7, FALSE)</f>
        <v>33.880000000000003</v>
      </c>
      <c r="AQ7">
        <f>VLOOKUP($C7, TN_TP!$1:$1048576, 6, FALSE)</f>
        <v>0.44</v>
      </c>
      <c r="AR7">
        <f>VLOOKUP($C7, TN_TP!$1:$1048576, 5, FALSE)</f>
        <v>3170</v>
      </c>
      <c r="AT7">
        <f>VLOOKUP($C7, TIC!$1:$1048576, 6, FALSE)</f>
        <v>78.385999999999996</v>
      </c>
      <c r="AV7">
        <f>VLOOKUP($C7, TOC!$1:$1048576, 6, FALSE)</f>
        <v>37.124000000000002</v>
      </c>
      <c r="AX7">
        <v>1545.36450414822</v>
      </c>
      <c r="AY7">
        <v>61.483194408902399</v>
      </c>
      <c r="AZ7">
        <v>0.56415196732122597</v>
      </c>
      <c r="BA7">
        <v>165.63650245862101</v>
      </c>
      <c r="BB7">
        <v>0.253614577132178</v>
      </c>
      <c r="BC7">
        <v>5.06665185659872E-3</v>
      </c>
      <c r="BD7">
        <v>0.186178322381467</v>
      </c>
      <c r="BE7">
        <v>5.46768959956683</v>
      </c>
      <c r="BF7">
        <v>9.1156937764211299E-2</v>
      </c>
      <c r="BZ7" t="s">
        <v>92</v>
      </c>
      <c r="CG7" t="e">
        <f>VLOOKUP($A7, [1]Buoyancy_max!$B$1:$C$21, 2, FALSE)</f>
        <v>#N/A</v>
      </c>
      <c r="CH7" t="e">
        <f>VLOOKUP(A7, [2]Buoyancy_min!$B$1:$C$21, 2, FALSE)</f>
        <v>#N/A</v>
      </c>
    </row>
    <row r="8" spans="1:86" x14ac:dyDescent="0.25">
      <c r="A8" t="s">
        <v>243</v>
      </c>
      <c r="C8" t="str">
        <f t="shared" si="1"/>
        <v>P3543328</v>
      </c>
      <c r="D8" s="7">
        <v>43328</v>
      </c>
      <c r="E8" s="8">
        <v>0.41111111111111115</v>
      </c>
      <c r="F8">
        <v>52.21161</v>
      </c>
      <c r="G8">
        <v>-106.10551</v>
      </c>
      <c r="H8">
        <v>17.899999999999999</v>
      </c>
      <c r="I8">
        <v>100</v>
      </c>
      <c r="J8">
        <v>6.9</v>
      </c>
      <c r="K8" t="s">
        <v>86</v>
      </c>
      <c r="L8">
        <v>0.32</v>
      </c>
      <c r="M8">
        <v>0.47</v>
      </c>
      <c r="N8">
        <v>0.47</v>
      </c>
      <c r="O8">
        <v>96.1</v>
      </c>
      <c r="P8">
        <v>0</v>
      </c>
      <c r="Q8">
        <v>0</v>
      </c>
      <c r="R8">
        <v>16.7</v>
      </c>
      <c r="S8">
        <v>38.700000000000003</v>
      </c>
      <c r="T8">
        <v>3.72</v>
      </c>
      <c r="U8">
        <v>3348</v>
      </c>
      <c r="V8">
        <v>1.76</v>
      </c>
      <c r="W8">
        <v>8.9499999999999993</v>
      </c>
      <c r="X8">
        <v>16.600000000000001</v>
      </c>
      <c r="Y8">
        <v>29.5</v>
      </c>
      <c r="Z8">
        <v>2.85</v>
      </c>
      <c r="AA8">
        <v>3351</v>
      </c>
      <c r="AB8">
        <v>1.77</v>
      </c>
      <c r="AC8">
        <v>8.93</v>
      </c>
      <c r="AD8">
        <f t="shared" si="0"/>
        <v>1873.9700237248387</v>
      </c>
      <c r="AE8">
        <v>715.8</v>
      </c>
      <c r="AK8" t="s">
        <v>108</v>
      </c>
      <c r="AL8">
        <v>9.9595728999999977</v>
      </c>
      <c r="AM8">
        <v>11.370565544444442</v>
      </c>
      <c r="AN8">
        <f>VLOOKUP(C8, Triplex!$1:$1048576, 5, FALSE)</f>
        <v>0.53</v>
      </c>
      <c r="AO8">
        <f>VLOOKUP(C8, Triplex!$1:$1048576, 6, FALSE)</f>
        <v>0.64</v>
      </c>
      <c r="AP8">
        <f>VLOOKUP(C8, Triplex!$1:$1048576, 7, FALSE)</f>
        <v>43.73</v>
      </c>
      <c r="AQ8">
        <f>VLOOKUP($C8, TN_TP!$1:$1048576, 6, FALSE)</f>
        <v>0.74</v>
      </c>
      <c r="AR8">
        <f>VLOOKUP($C8, TN_TP!$1:$1048576, 5, FALSE)</f>
        <v>5300</v>
      </c>
      <c r="AT8">
        <f>VLOOKUP($C8, TIC!$1:$1048576, 6, FALSE)</f>
        <v>80.018000000000001</v>
      </c>
      <c r="AV8">
        <f>VLOOKUP($C8, TOC!$1:$1048576, 6, FALSE)</f>
        <v>56.078000000000003</v>
      </c>
      <c r="AX8">
        <v>363.00165058934402</v>
      </c>
      <c r="AY8">
        <v>14.6367246742667</v>
      </c>
      <c r="AZ8">
        <v>0.76105489252931302</v>
      </c>
      <c r="BA8">
        <v>389.43596241941799</v>
      </c>
      <c r="BB8">
        <v>0.60130446052804698</v>
      </c>
      <c r="BC8">
        <v>2.0062926283694601E-2</v>
      </c>
      <c r="BD8">
        <v>0.23471720651040801</v>
      </c>
      <c r="BE8">
        <v>6.9887806903984799</v>
      </c>
      <c r="BF8">
        <v>9.6569408924037703E-2</v>
      </c>
      <c r="BZ8" t="s">
        <v>93</v>
      </c>
      <c r="CG8" t="e">
        <f>VLOOKUP($A8, [1]Buoyancy_max!$B$1:$C$21, 2, FALSE)</f>
        <v>#N/A</v>
      </c>
      <c r="CH8" t="e">
        <f>VLOOKUP(A8, [2]Buoyancy_min!$B$1:$C$21, 2, FALSE)</f>
        <v>#N/A</v>
      </c>
    </row>
    <row r="9" spans="1:86" x14ac:dyDescent="0.25">
      <c r="A9" t="s">
        <v>244</v>
      </c>
      <c r="C9" t="str">
        <f t="shared" si="1"/>
        <v>P3743328</v>
      </c>
      <c r="D9" s="7">
        <v>43328</v>
      </c>
      <c r="E9" s="8">
        <v>0.3840277777777778</v>
      </c>
      <c r="F9">
        <v>52.208649999999999</v>
      </c>
      <c r="G9">
        <v>-106.11011999999999</v>
      </c>
      <c r="H9">
        <v>16.100000000000001</v>
      </c>
      <c r="I9">
        <v>100</v>
      </c>
      <c r="J9">
        <v>7.8</v>
      </c>
      <c r="K9" t="s">
        <v>86</v>
      </c>
      <c r="L9">
        <v>0.8</v>
      </c>
      <c r="M9">
        <v>0.8</v>
      </c>
      <c r="N9">
        <v>0.75</v>
      </c>
      <c r="O9">
        <v>93.3</v>
      </c>
      <c r="P9">
        <v>0</v>
      </c>
      <c r="Q9">
        <v>0</v>
      </c>
      <c r="R9">
        <v>17.5</v>
      </c>
      <c r="S9">
        <v>67.2</v>
      </c>
      <c r="T9">
        <v>6.41</v>
      </c>
      <c r="U9">
        <v>886</v>
      </c>
      <c r="V9">
        <v>0.44</v>
      </c>
      <c r="W9">
        <v>8.8800000000000008</v>
      </c>
      <c r="X9">
        <v>17.5</v>
      </c>
      <c r="Y9">
        <v>66.599999999999994</v>
      </c>
      <c r="Z9">
        <v>6.35</v>
      </c>
      <c r="AA9">
        <v>884</v>
      </c>
      <c r="AB9">
        <v>0.44</v>
      </c>
      <c r="AC9">
        <v>8.8699999999999992</v>
      </c>
      <c r="AD9">
        <f t="shared" si="0"/>
        <v>468.96481744676731</v>
      </c>
      <c r="AE9">
        <v>715.4</v>
      </c>
      <c r="AK9" t="s">
        <v>108</v>
      </c>
      <c r="AL9">
        <v>-2.8039942499999997</v>
      </c>
      <c r="AM9">
        <v>1.981607583333334</v>
      </c>
      <c r="AN9">
        <f>VLOOKUP(C9, Triplex!$1:$1048576, 5, FALSE)</f>
        <v>0.04</v>
      </c>
      <c r="AO9">
        <f>VLOOKUP(C9, Triplex!$1:$1048576, 6, FALSE)</f>
        <v>0.09</v>
      </c>
      <c r="AP9">
        <f>VLOOKUP(C9, Triplex!$1:$1048576, 7, FALSE)</f>
        <v>0.19</v>
      </c>
      <c r="AQ9">
        <f>VLOOKUP($C9, TN_TP!$1:$1048576, 6, FALSE)</f>
        <v>0.13</v>
      </c>
      <c r="AR9">
        <f>VLOOKUP($C9, TN_TP!$1:$1048576, 5, FALSE)</f>
        <v>619.69000000000005</v>
      </c>
      <c r="AT9">
        <f>VLOOKUP($C9, TIC!$1:$1048576, 6, FALSE)</f>
        <v>9.9890000000000008</v>
      </c>
      <c r="AV9">
        <f>VLOOKUP($C9, TOC!$1:$1048576, 6, FALSE)</f>
        <v>7.5819999999999999</v>
      </c>
      <c r="AX9">
        <v>325.99921017246601</v>
      </c>
      <c r="AY9">
        <v>12.90072071873</v>
      </c>
      <c r="AZ9">
        <v>0.13584819096603701</v>
      </c>
      <c r="BA9">
        <v>794.77621913647499</v>
      </c>
      <c r="BB9">
        <v>1.21572156417816</v>
      </c>
      <c r="BC9">
        <v>1.8107510337900701E-2</v>
      </c>
      <c r="BD9">
        <v>0.20660370887597501</v>
      </c>
      <c r="BE9">
        <v>6.0403918564559103</v>
      </c>
      <c r="BF9">
        <v>2.6698018619551699E-2</v>
      </c>
      <c r="BZ9" t="s">
        <v>94</v>
      </c>
      <c r="CG9" t="e">
        <f>VLOOKUP($A9, [1]Buoyancy_max!$B$1:$C$21, 2, FALSE)</f>
        <v>#N/A</v>
      </c>
      <c r="CH9" t="e">
        <f>VLOOKUP(A9, [2]Buoyancy_min!$B$1:$C$21, 2, FALSE)</f>
        <v>#N/A</v>
      </c>
    </row>
    <row r="10" spans="1:86" x14ac:dyDescent="0.25">
      <c r="A10" t="s">
        <v>248</v>
      </c>
      <c r="C10" t="str">
        <f t="shared" si="1"/>
        <v>P7043327</v>
      </c>
      <c r="D10" s="7">
        <v>43327</v>
      </c>
      <c r="E10" s="8">
        <v>0.3611111111111111</v>
      </c>
      <c r="F10">
        <v>52.208399999999997</v>
      </c>
      <c r="G10">
        <v>-106.09209</v>
      </c>
      <c r="H10">
        <v>20</v>
      </c>
      <c r="I10">
        <v>0</v>
      </c>
      <c r="J10">
        <v>0</v>
      </c>
      <c r="K10" t="s">
        <v>95</v>
      </c>
      <c r="L10">
        <v>0.3</v>
      </c>
      <c r="M10">
        <v>0.5</v>
      </c>
      <c r="N10">
        <v>0.5</v>
      </c>
      <c r="O10">
        <v>89.9</v>
      </c>
      <c r="P10">
        <v>0</v>
      </c>
      <c r="Q10">
        <v>0</v>
      </c>
      <c r="R10">
        <v>17.100000000000001</v>
      </c>
      <c r="S10">
        <v>17.2</v>
      </c>
      <c r="T10">
        <v>1.62</v>
      </c>
      <c r="U10">
        <v>5368</v>
      </c>
      <c r="V10">
        <v>3.37</v>
      </c>
      <c r="W10">
        <v>8.2100000000000009</v>
      </c>
      <c r="X10">
        <v>17</v>
      </c>
      <c r="Y10">
        <v>9</v>
      </c>
      <c r="Z10">
        <v>0.85</v>
      </c>
      <c r="AA10">
        <v>5366</v>
      </c>
      <c r="AB10">
        <v>3.47</v>
      </c>
      <c r="AC10">
        <v>8.19</v>
      </c>
      <c r="AD10">
        <f t="shared" si="0"/>
        <v>3040.4733530907674</v>
      </c>
      <c r="AE10">
        <v>709.4</v>
      </c>
      <c r="AK10" t="s">
        <v>108</v>
      </c>
      <c r="AL10">
        <v>148.62797833333337</v>
      </c>
      <c r="AM10">
        <v>134.38394000000002</v>
      </c>
      <c r="AN10">
        <f>VLOOKUP(C10, Triplex!$1:$1048576, 5, FALSE)</f>
        <v>0.08</v>
      </c>
      <c r="AO10">
        <f>VLOOKUP(C10, Triplex!$1:$1048576, 6, FALSE)</f>
        <v>0.12</v>
      </c>
      <c r="AP10">
        <f>VLOOKUP(C10, Triplex!$1:$1048576, 7, FALSE)</f>
        <v>6.09</v>
      </c>
      <c r="AQ10">
        <f>VLOOKUP($C10, TN_TP!$1:$1048576, 6, FALSE)</f>
        <v>0.2</v>
      </c>
      <c r="AR10">
        <f>VLOOKUP($C10, TN_TP!$1:$1048576, 5, FALSE)</f>
        <v>5000</v>
      </c>
      <c r="AT10">
        <f>VLOOKUP($C10, TIC!$1:$1048576, 6, FALSE)</f>
        <v>90.433000000000007</v>
      </c>
      <c r="AV10">
        <f>VLOOKUP($C10, TOC!$1:$1048576, 6, FALSE)</f>
        <v>45.622</v>
      </c>
      <c r="AX10">
        <v>2064.09016327462</v>
      </c>
      <c r="AY10">
        <v>80.854889348293298</v>
      </c>
      <c r="AZ10">
        <v>0.89466060717681795</v>
      </c>
      <c r="BA10">
        <v>246.95856003875201</v>
      </c>
      <c r="BB10">
        <v>0.37082763489401399</v>
      </c>
      <c r="BC10">
        <v>2.7227085210048E-3</v>
      </c>
      <c r="BD10">
        <v>9.7245037136077198E-2</v>
      </c>
      <c r="BE10">
        <v>2.8053839148567601</v>
      </c>
      <c r="BF10">
        <v>9.1261400045944102E-2</v>
      </c>
      <c r="BZ10" t="s">
        <v>96</v>
      </c>
      <c r="CG10" t="e">
        <f>VLOOKUP($A10, [1]Buoyancy_max!$B$1:$C$21, 2, FALSE)</f>
        <v>#N/A</v>
      </c>
      <c r="CH10" t="e">
        <f>VLOOKUP(A10, [2]Buoyancy_min!$B$1:$C$21, 2, FALSE)</f>
        <v>#N/A</v>
      </c>
    </row>
    <row r="11" spans="1:86" x14ac:dyDescent="0.25">
      <c r="A11" t="s">
        <v>249</v>
      </c>
      <c r="C11" t="str">
        <f t="shared" si="1"/>
        <v>P7543327</v>
      </c>
      <c r="D11" s="7">
        <v>43327</v>
      </c>
      <c r="E11" s="8">
        <v>0.3923611111111111</v>
      </c>
      <c r="F11" s="11">
        <v>52.205105463700001</v>
      </c>
      <c r="G11" s="11">
        <v>-106.092977878</v>
      </c>
      <c r="H11">
        <v>21</v>
      </c>
      <c r="I11">
        <v>0</v>
      </c>
      <c r="J11">
        <v>2.6</v>
      </c>
      <c r="K11" t="s">
        <v>95</v>
      </c>
      <c r="L11">
        <v>0.75</v>
      </c>
      <c r="M11">
        <v>0.75</v>
      </c>
      <c r="N11">
        <v>0.75</v>
      </c>
      <c r="O11">
        <v>88.3</v>
      </c>
      <c r="P11">
        <v>0</v>
      </c>
      <c r="Q11">
        <v>0</v>
      </c>
      <c r="R11">
        <v>17.600000000000001</v>
      </c>
      <c r="S11">
        <v>93.3</v>
      </c>
      <c r="T11">
        <v>8.68</v>
      </c>
      <c r="U11">
        <v>1368</v>
      </c>
      <c r="V11">
        <v>0.81</v>
      </c>
      <c r="W11">
        <v>9.2799999999999994</v>
      </c>
      <c r="X11">
        <v>17.5</v>
      </c>
      <c r="Y11">
        <v>84.8</v>
      </c>
      <c r="Z11">
        <v>8.09</v>
      </c>
      <c r="AA11">
        <v>1364</v>
      </c>
      <c r="AB11">
        <v>0.81</v>
      </c>
      <c r="AC11">
        <v>9.27</v>
      </c>
      <c r="AD11">
        <f t="shared" si="0"/>
        <v>742.56030316231158</v>
      </c>
      <c r="AE11">
        <v>709.4</v>
      </c>
      <c r="AK11" t="s">
        <v>108</v>
      </c>
      <c r="AL11">
        <v>2.2383233888888876</v>
      </c>
      <c r="AM11">
        <v>3.880599666666666</v>
      </c>
      <c r="AN11">
        <f>VLOOKUP(C11, Triplex!$1:$1048576, 5, FALSE)</f>
        <v>0.11</v>
      </c>
      <c r="AO11">
        <f>VLOOKUP(C11, Triplex!$1:$1048576, 6, FALSE)</f>
        <v>0.36</v>
      </c>
      <c r="AP11">
        <f>VLOOKUP(C11, Triplex!$1:$1048576, 7, FALSE)</f>
        <v>4.05</v>
      </c>
      <c r="AQ11">
        <f>VLOOKUP($C11, TN_TP!$1:$1048576, 6, FALSE)</f>
        <v>0.46</v>
      </c>
      <c r="AR11">
        <f>VLOOKUP($C11, TN_TP!$1:$1048576, 5, FALSE)</f>
        <v>3290</v>
      </c>
      <c r="AT11">
        <f>VLOOKUP($C11, TIC!$1:$1048576, 6, FALSE)</f>
        <v>61.531999999999996</v>
      </c>
      <c r="AV11">
        <f>VLOOKUP($C11, TOC!$1:$1048576, 6, FALSE)</f>
        <v>35.093000000000004</v>
      </c>
      <c r="AX11">
        <v>110.873120766132</v>
      </c>
      <c r="AY11">
        <v>4.3299527104580502</v>
      </c>
      <c r="AZ11">
        <v>7.6952481345095206E-2</v>
      </c>
      <c r="BA11">
        <v>485.44170496294902</v>
      </c>
      <c r="BB11">
        <v>0.73302795398471898</v>
      </c>
      <c r="BC11">
        <v>3.2480379157888498E-2</v>
      </c>
      <c r="BD11">
        <v>0.19042792399593</v>
      </c>
      <c r="BE11">
        <v>5.4908943469732598</v>
      </c>
      <c r="BF11">
        <v>5.32280717309217E-2</v>
      </c>
      <c r="BZ11" t="s">
        <v>97</v>
      </c>
      <c r="CG11" t="e">
        <f>VLOOKUP($A11, [1]Buoyancy_max!$B$1:$C$21, 2, FALSE)</f>
        <v>#N/A</v>
      </c>
      <c r="CH11" t="e">
        <f>VLOOKUP(A11, [2]Buoyancy_min!$B$1:$C$21, 2, FALSE)</f>
        <v>#N/A</v>
      </c>
    </row>
    <row r="12" spans="1:86" x14ac:dyDescent="0.25">
      <c r="A12" t="s">
        <v>246</v>
      </c>
      <c r="C12" t="str">
        <f t="shared" si="1"/>
        <v>P6643327</v>
      </c>
      <c r="D12" s="7">
        <v>43327</v>
      </c>
      <c r="E12" s="8">
        <v>0.42291666666666666</v>
      </c>
      <c r="F12">
        <v>52.205930000000002</v>
      </c>
      <c r="G12">
        <v>-106.09621</v>
      </c>
      <c r="H12">
        <v>21</v>
      </c>
      <c r="I12">
        <v>0</v>
      </c>
      <c r="J12">
        <v>0</v>
      </c>
      <c r="K12" t="s">
        <v>95</v>
      </c>
      <c r="L12">
        <v>0.21</v>
      </c>
      <c r="M12">
        <v>2.7</v>
      </c>
      <c r="N12">
        <v>2.5</v>
      </c>
      <c r="O12">
        <v>98</v>
      </c>
      <c r="P12">
        <v>0</v>
      </c>
      <c r="Q12">
        <v>0</v>
      </c>
      <c r="R12">
        <v>18.3</v>
      </c>
      <c r="S12">
        <v>60</v>
      </c>
      <c r="T12">
        <v>5.51</v>
      </c>
      <c r="U12">
        <v>4958</v>
      </c>
      <c r="V12">
        <v>3.1</v>
      </c>
      <c r="W12">
        <v>8.6199999999999992</v>
      </c>
      <c r="X12">
        <v>17.899999999999999</v>
      </c>
      <c r="Y12">
        <v>455</v>
      </c>
      <c r="Z12">
        <v>4.38</v>
      </c>
      <c r="AA12">
        <v>4927</v>
      </c>
      <c r="AB12">
        <v>3.1</v>
      </c>
      <c r="AC12">
        <v>8.66</v>
      </c>
      <c r="AD12">
        <f t="shared" si="0"/>
        <v>2802.7220801116014</v>
      </c>
      <c r="AE12">
        <v>709.5</v>
      </c>
      <c r="AK12" t="s">
        <v>108</v>
      </c>
      <c r="AL12">
        <v>156.20662810000002</v>
      </c>
      <c r="AM12">
        <v>143.50950515</v>
      </c>
      <c r="AN12">
        <f>VLOOKUP(C12, Triplex!$1:$1048576, 5, FALSE)</f>
        <v>0.05</v>
      </c>
      <c r="AO12">
        <f>VLOOKUP(C12, Triplex!$1:$1048576, 6, FALSE)</f>
        <v>7.0000000000000007E-2</v>
      </c>
      <c r="AP12">
        <f>VLOOKUP(C12, Triplex!$1:$1048576, 7, FALSE)</f>
        <v>2.09</v>
      </c>
      <c r="AQ12">
        <f>VLOOKUP($C12, TN_TP!$1:$1048576, 6, FALSE)</f>
        <v>0.16</v>
      </c>
      <c r="AR12">
        <f>VLOOKUP($C12, TN_TP!$1:$1048576, 5, FALSE)</f>
        <v>4830</v>
      </c>
      <c r="AT12">
        <f>VLOOKUP($C12, TIC!$1:$1048576, 6, FALSE)</f>
        <v>96.031999999999996</v>
      </c>
      <c r="AV12">
        <f>VLOOKUP($C12, TOC!$1:$1048576, 6, FALSE)</f>
        <v>55.354999999999997</v>
      </c>
      <c r="AX12">
        <v>694.10289137687198</v>
      </c>
      <c r="AY12">
        <v>26.258327030718501</v>
      </c>
      <c r="AZ12">
        <v>1.01677879508805</v>
      </c>
      <c r="BA12">
        <v>287.68815801845398</v>
      </c>
      <c r="BB12">
        <v>0.421938158992611</v>
      </c>
      <c r="BC12">
        <v>4.6032712885160497E-2</v>
      </c>
      <c r="BD12">
        <v>0.27213104073331601</v>
      </c>
      <c r="BE12">
        <v>7.5706354078577398</v>
      </c>
      <c r="BF12">
        <v>0.14392452349500101</v>
      </c>
      <c r="BZ12" t="s">
        <v>98</v>
      </c>
      <c r="CG12" t="e">
        <f>VLOOKUP($A12, [1]Buoyancy_max!$B$1:$C$21, 2, FALSE)</f>
        <v>#N/A</v>
      </c>
      <c r="CH12" t="e">
        <f>VLOOKUP(A12, [2]Buoyancy_min!$B$1:$C$21, 2, FALSE)</f>
        <v>#N/A</v>
      </c>
    </row>
    <row r="13" spans="1:86" x14ac:dyDescent="0.25">
      <c r="A13" t="s">
        <v>250</v>
      </c>
      <c r="C13" t="str">
        <f t="shared" si="1"/>
        <v>P8843327</v>
      </c>
      <c r="D13" s="7">
        <v>43327</v>
      </c>
      <c r="E13" s="8">
        <v>0.46597222222222223</v>
      </c>
      <c r="F13">
        <v>52.202280000000002</v>
      </c>
      <c r="G13">
        <v>-106.08401000000001</v>
      </c>
      <c r="H13">
        <v>33</v>
      </c>
      <c r="I13">
        <v>0</v>
      </c>
      <c r="J13">
        <v>3.4</v>
      </c>
      <c r="K13" t="s">
        <v>95</v>
      </c>
      <c r="L13">
        <v>0.41</v>
      </c>
      <c r="M13">
        <v>0.41</v>
      </c>
      <c r="N13">
        <v>0.25</v>
      </c>
      <c r="O13">
        <v>95</v>
      </c>
      <c r="P13">
        <v>0</v>
      </c>
      <c r="Q13">
        <v>0</v>
      </c>
      <c r="R13">
        <v>16.2</v>
      </c>
      <c r="S13">
        <v>69.2</v>
      </c>
      <c r="T13">
        <v>6.77</v>
      </c>
      <c r="U13">
        <v>441</v>
      </c>
      <c r="V13">
        <v>0.26</v>
      </c>
      <c r="W13">
        <v>9.0399999999999991</v>
      </c>
      <c r="X13">
        <v>16</v>
      </c>
      <c r="Y13">
        <v>63.1</v>
      </c>
      <c r="Z13">
        <v>6.37</v>
      </c>
      <c r="AA13">
        <v>440</v>
      </c>
      <c r="AB13">
        <v>0.26</v>
      </c>
      <c r="AC13">
        <v>9</v>
      </c>
      <c r="AD13">
        <f t="shared" si="0"/>
        <v>227.74825765313827</v>
      </c>
      <c r="AE13">
        <v>709</v>
      </c>
      <c r="AK13" t="s">
        <v>108</v>
      </c>
      <c r="AL13">
        <v>8.0209971666666693</v>
      </c>
      <c r="AM13">
        <v>21.735752833333336</v>
      </c>
      <c r="AN13">
        <f>VLOOKUP(C13, Triplex!$1:$1048576, 5, FALSE)</f>
        <v>0.13</v>
      </c>
      <c r="AO13">
        <f>VLOOKUP(C13, Triplex!$1:$1048576, 6, FALSE)</f>
        <v>1.08</v>
      </c>
      <c r="AP13">
        <f>VLOOKUP(C13, Triplex!$1:$1048576, 7, FALSE)</f>
        <v>5.72</v>
      </c>
      <c r="AQ13">
        <f>VLOOKUP($C13, TN_TP!$1:$1048576, 6, FALSE)</f>
        <v>1.19</v>
      </c>
      <c r="AR13">
        <f>VLOOKUP($C13, TN_TP!$1:$1048576, 5, FALSE)</f>
        <v>2800</v>
      </c>
      <c r="AT13">
        <f>VLOOKUP($C13, TIC!$1:$1048576, 6, FALSE)</f>
        <v>49.3</v>
      </c>
      <c r="AV13">
        <f>VLOOKUP($C13, TOC!$1:$1048576, 6, FALSE)</f>
        <v>30.722999999999999</v>
      </c>
      <c r="AX13">
        <v>198.44249218297901</v>
      </c>
      <c r="AY13">
        <v>8.1068571640049498</v>
      </c>
      <c r="AZ13">
        <v>0.80452508618429197</v>
      </c>
      <c r="BA13">
        <v>2826.6938905935999</v>
      </c>
      <c r="BB13">
        <v>4.4127244405567296</v>
      </c>
      <c r="BC13">
        <v>0.92899013199934899</v>
      </c>
      <c r="BD13">
        <v>0.13147425172786001</v>
      </c>
      <c r="BE13">
        <v>3.97707880763264</v>
      </c>
      <c r="BF13">
        <v>0.34192546566321902</v>
      </c>
      <c r="BZ13" t="s">
        <v>99</v>
      </c>
      <c r="CG13" t="e">
        <f>VLOOKUP($A13, [1]Buoyancy_max!$B$1:$C$21, 2, FALSE)</f>
        <v>#N/A</v>
      </c>
      <c r="CH13" t="e">
        <f>VLOOKUP(A13, [2]Buoyancy_min!$B$1:$C$21, 2, FALSE)</f>
        <v>#N/A</v>
      </c>
    </row>
    <row r="14" spans="1:86" x14ac:dyDescent="0.25">
      <c r="A14" t="s">
        <v>234</v>
      </c>
      <c r="C14" t="str">
        <f t="shared" si="1"/>
        <v>P143325</v>
      </c>
      <c r="D14" s="7">
        <v>43325</v>
      </c>
      <c r="E14" s="8">
        <v>0.52152777777777781</v>
      </c>
      <c r="F14">
        <v>52.213290000000001</v>
      </c>
      <c r="G14">
        <v>-106.08901</v>
      </c>
      <c r="H14">
        <v>15.9</v>
      </c>
      <c r="I14">
        <v>100</v>
      </c>
      <c r="J14">
        <v>9.5</v>
      </c>
      <c r="K14" t="s">
        <v>95</v>
      </c>
      <c r="L14">
        <v>0.35</v>
      </c>
      <c r="M14">
        <v>3.1</v>
      </c>
      <c r="N14">
        <v>3</v>
      </c>
      <c r="O14">
        <v>90.4</v>
      </c>
      <c r="P14">
        <v>0</v>
      </c>
      <c r="Q14">
        <v>0</v>
      </c>
      <c r="R14">
        <v>18.8</v>
      </c>
      <c r="S14">
        <v>55.7</v>
      </c>
      <c r="T14">
        <v>5.36</v>
      </c>
      <c r="U14">
        <v>2298</v>
      </c>
      <c r="V14">
        <v>1.35</v>
      </c>
      <c r="W14">
        <v>8.2799999999999994</v>
      </c>
      <c r="X14">
        <v>18.600000000000001</v>
      </c>
      <c r="Y14">
        <v>36.6</v>
      </c>
      <c r="Z14">
        <v>3.36</v>
      </c>
      <c r="AA14">
        <v>2294</v>
      </c>
      <c r="AB14">
        <v>1.37</v>
      </c>
      <c r="AC14">
        <v>8.3800000000000008</v>
      </c>
      <c r="AD14">
        <f t="shared" si="0"/>
        <v>1272.4835014411237</v>
      </c>
      <c r="AE14">
        <v>715.5</v>
      </c>
      <c r="AK14" t="s">
        <v>108</v>
      </c>
      <c r="AL14">
        <v>98.865847666666667</v>
      </c>
      <c r="AM14">
        <v>88.743080666666671</v>
      </c>
      <c r="AN14">
        <f>VLOOKUP(C14, Triplex!$1:$1048576, 5, FALSE)</f>
        <v>0.05</v>
      </c>
      <c r="AO14">
        <f>VLOOKUP(C14, Triplex!$1:$1048576, 6, FALSE)</f>
        <v>0.04</v>
      </c>
      <c r="AP14">
        <f>VLOOKUP(C14, Triplex!$1:$1048576, 7, FALSE)</f>
        <v>4.7300000000000004</v>
      </c>
      <c r="AQ14">
        <f>VLOOKUP($C14, TN_TP!$1:$1048576, 6, FALSE)</f>
        <v>7.0000000000000007E-2</v>
      </c>
      <c r="AR14">
        <f>VLOOKUP($C14, TN_TP!$1:$1048576, 5, FALSE)</f>
        <v>2430</v>
      </c>
      <c r="AT14">
        <f>VLOOKUP($C14, TIC!$1:$1048576, 6, FALSE)</f>
        <v>50.423999999999999</v>
      </c>
      <c r="AV14">
        <f>VLOOKUP($C14, TOC!$1:$1048576, 6, FALSE)</f>
        <v>30.504000000000001</v>
      </c>
      <c r="AX14">
        <v>634.34464768962698</v>
      </c>
      <c r="AY14">
        <v>24.039411884777699</v>
      </c>
      <c r="AZ14">
        <v>0.13859338644559499</v>
      </c>
      <c r="BA14">
        <v>280.08985791373101</v>
      </c>
      <c r="BB14">
        <v>0.41453866085048502</v>
      </c>
      <c r="BC14">
        <v>3.5939537661623601E-3</v>
      </c>
      <c r="BD14">
        <v>0.24516185442559499</v>
      </c>
      <c r="BE14">
        <v>6.8426819315416303</v>
      </c>
      <c r="BF14">
        <v>2.7474375959707299E-2</v>
      </c>
      <c r="BZ14" t="s">
        <v>100</v>
      </c>
      <c r="CG14" t="e">
        <f>VLOOKUP($A14, [1]Buoyancy_max!$B$1:$C$21, 2, FALSE)</f>
        <v>#N/A</v>
      </c>
      <c r="CH14" t="e">
        <f>VLOOKUP(A14, [2]Buoyancy_min!$B$1:$C$21, 2, FALSE)</f>
        <v>#N/A</v>
      </c>
    </row>
    <row r="15" spans="1:86" x14ac:dyDescent="0.25">
      <c r="A15" t="s">
        <v>240</v>
      </c>
      <c r="C15" t="str">
        <f t="shared" si="1"/>
        <v>P12543325</v>
      </c>
      <c r="D15" s="7">
        <v>43325</v>
      </c>
      <c r="E15" s="8">
        <v>0.55763888888888891</v>
      </c>
      <c r="F15">
        <v>52.21313</v>
      </c>
      <c r="G15">
        <v>-106.08153</v>
      </c>
      <c r="H15">
        <v>16.399999999999999</v>
      </c>
      <c r="I15">
        <v>100</v>
      </c>
      <c r="J15">
        <v>8</v>
      </c>
      <c r="K15" t="s">
        <v>95</v>
      </c>
      <c r="L15">
        <v>0.28999999999999998</v>
      </c>
      <c r="M15">
        <v>2</v>
      </c>
      <c r="N15">
        <v>1.5</v>
      </c>
      <c r="O15">
        <v>85</v>
      </c>
      <c r="P15">
        <v>0</v>
      </c>
      <c r="Q15">
        <v>0</v>
      </c>
      <c r="R15">
        <v>18.100000000000001</v>
      </c>
      <c r="S15">
        <v>64</v>
      </c>
      <c r="T15">
        <v>5.99</v>
      </c>
      <c r="U15">
        <v>2401</v>
      </c>
      <c r="V15">
        <v>1.44</v>
      </c>
      <c r="W15">
        <v>8.6</v>
      </c>
      <c r="X15">
        <v>18.2</v>
      </c>
      <c r="Y15">
        <v>63</v>
      </c>
      <c r="Z15">
        <v>5.85</v>
      </c>
      <c r="AA15">
        <v>2405</v>
      </c>
      <c r="AB15">
        <v>1.44</v>
      </c>
      <c r="AC15">
        <v>8.6199999999999992</v>
      </c>
      <c r="AD15">
        <f t="shared" si="0"/>
        <v>1331.3375733522107</v>
      </c>
      <c r="AE15">
        <v>715.7</v>
      </c>
      <c r="AK15" t="s">
        <v>108</v>
      </c>
      <c r="AL15">
        <v>83.978713327272743</v>
      </c>
      <c r="AM15">
        <v>95.551239127272737</v>
      </c>
      <c r="AN15">
        <f>VLOOKUP(C15, Triplex!$1:$1048576, 5, FALSE)</f>
        <v>0.16</v>
      </c>
      <c r="AO15">
        <f>VLOOKUP(C15, Triplex!$1:$1048576, 6, FALSE)</f>
        <v>0.02</v>
      </c>
      <c r="AP15">
        <f>VLOOKUP(C15, Triplex!$1:$1048576, 7, FALSE)</f>
        <v>5.13</v>
      </c>
      <c r="AQ15">
        <f>VLOOKUP($C15, TN_TP!$1:$1048576, 6, FALSE)</f>
        <v>0.05</v>
      </c>
      <c r="AR15">
        <f>VLOOKUP($C15, TN_TP!$1:$1048576, 5, FALSE)</f>
        <v>3090</v>
      </c>
      <c r="AT15">
        <f>VLOOKUP($C15, TIC!$1:$1048576, 6, FALSE)</f>
        <v>48.271000000000001</v>
      </c>
      <c r="AV15">
        <f>VLOOKUP($C15, TOC!$1:$1048576, 6, FALSE)</f>
        <v>36.515000000000001</v>
      </c>
      <c r="AX15">
        <v>367.40796957921498</v>
      </c>
      <c r="AY15">
        <v>14.2162460656251</v>
      </c>
      <c r="AZ15">
        <v>0.47035390517594799</v>
      </c>
      <c r="BA15">
        <v>250.39297089310199</v>
      </c>
      <c r="BB15">
        <v>0.37593413903825701</v>
      </c>
      <c r="BC15">
        <v>2.8226516267499798E-3</v>
      </c>
      <c r="BD15">
        <v>0.226798479580992</v>
      </c>
      <c r="BE15">
        <v>6.4692043125724998</v>
      </c>
      <c r="BF15">
        <v>0.12817450563744001</v>
      </c>
      <c r="BZ15" t="s">
        <v>101</v>
      </c>
      <c r="CG15" t="e">
        <f>VLOOKUP($A15, [1]Buoyancy_max!$B$1:$C$21, 2, FALSE)</f>
        <v>#N/A</v>
      </c>
      <c r="CH15" t="e">
        <f>VLOOKUP(A15, [2]Buoyancy_min!$B$1:$C$21, 2, FALSE)</f>
        <v>#N/A</v>
      </c>
    </row>
    <row r="16" spans="1:86" x14ac:dyDescent="0.25">
      <c r="A16" t="s">
        <v>245</v>
      </c>
      <c r="C16" t="str">
        <f t="shared" si="1"/>
        <v>P5043325</v>
      </c>
      <c r="D16" s="7">
        <v>43325</v>
      </c>
      <c r="E16" s="8">
        <v>0.60416666666666663</v>
      </c>
      <c r="F16" s="11">
        <v>52.205530807999999</v>
      </c>
      <c r="G16" s="11">
        <v>-106.107130861</v>
      </c>
      <c r="H16">
        <v>12.9</v>
      </c>
      <c r="I16">
        <v>100</v>
      </c>
      <c r="J16">
        <v>5.9</v>
      </c>
      <c r="K16" t="s">
        <v>95</v>
      </c>
      <c r="L16">
        <v>0.27</v>
      </c>
      <c r="M16">
        <v>2.2000000000000002</v>
      </c>
      <c r="N16">
        <v>2</v>
      </c>
      <c r="O16">
        <v>102.9</v>
      </c>
      <c r="P16">
        <v>0</v>
      </c>
      <c r="Q16">
        <v>0</v>
      </c>
      <c r="R16">
        <v>18.600000000000001</v>
      </c>
      <c r="S16">
        <v>69.5</v>
      </c>
      <c r="T16">
        <v>6.41</v>
      </c>
      <c r="U16">
        <v>4256</v>
      </c>
      <c r="V16">
        <v>2.61</v>
      </c>
      <c r="W16">
        <v>8.58</v>
      </c>
      <c r="X16">
        <v>18.600000000000001</v>
      </c>
      <c r="Y16">
        <v>69</v>
      </c>
      <c r="Z16">
        <v>6.33</v>
      </c>
      <c r="AA16">
        <v>4262</v>
      </c>
      <c r="AB16">
        <v>2.61</v>
      </c>
      <c r="AC16">
        <v>8.8800000000000008</v>
      </c>
      <c r="AD16">
        <f t="shared" si="0"/>
        <v>2396.8070653073369</v>
      </c>
      <c r="AE16">
        <v>716.4</v>
      </c>
      <c r="AK16" t="s">
        <v>108</v>
      </c>
      <c r="AL16">
        <v>177.639715</v>
      </c>
      <c r="AM16">
        <v>162.68188249999997</v>
      </c>
      <c r="AN16">
        <f>VLOOKUP(C16, Triplex!$1:$1048576, 5, FALSE)</f>
        <v>0.05</v>
      </c>
      <c r="AO16">
        <f>VLOOKUP(C16, Triplex!$1:$1048576, 6, FALSE)</f>
        <v>0.01</v>
      </c>
      <c r="AP16">
        <f>VLOOKUP(C16, Triplex!$1:$1048576, 7, FALSE)</f>
        <v>2.41</v>
      </c>
      <c r="AQ16">
        <f>VLOOKUP($C16, TN_TP!$1:$1048576, 6, FALSE)</f>
        <v>0.06</v>
      </c>
      <c r="AR16">
        <f>VLOOKUP($C16, TN_TP!$1:$1048576, 5, FALSE)</f>
        <v>3480</v>
      </c>
      <c r="AT16">
        <f>VLOOKUP($C16, TIC!$1:$1048576, 6, FALSE)</f>
        <v>90.66</v>
      </c>
      <c r="AV16">
        <f>VLOOKUP($C16, TOC!$1:$1048576, 6, FALSE)</f>
        <v>45.115000000000002</v>
      </c>
      <c r="AX16">
        <v>717.87936039651504</v>
      </c>
      <c r="AY16">
        <v>27.240063149349801</v>
      </c>
      <c r="AZ16">
        <v>0.430861376851291</v>
      </c>
      <c r="BA16">
        <v>180.953084932114</v>
      </c>
      <c r="BB16">
        <v>0.26713334401632399</v>
      </c>
      <c r="BC16">
        <v>7.4434024501883499E-4</v>
      </c>
      <c r="BD16">
        <v>0.25069175061245802</v>
      </c>
      <c r="BE16">
        <v>6.9966508168009698</v>
      </c>
      <c r="BF16">
        <v>0.171307824794486</v>
      </c>
      <c r="BZ16" t="s">
        <v>102</v>
      </c>
      <c r="CG16" t="e">
        <f>VLOOKUP($A16, [1]Buoyancy_max!$B$1:$C$21, 2, FALSE)</f>
        <v>#N/A</v>
      </c>
      <c r="CH16" t="e">
        <f>VLOOKUP(A16, [2]Buoyancy_min!$B$1:$C$21, 2, FALSE)</f>
        <v>#N/A</v>
      </c>
    </row>
    <row r="17" spans="1:86" x14ac:dyDescent="0.25">
      <c r="A17" t="s">
        <v>236</v>
      </c>
      <c r="C17" t="str">
        <f t="shared" si="1"/>
        <v>P10943326</v>
      </c>
      <c r="D17" s="7">
        <v>43326</v>
      </c>
      <c r="E17" s="8">
        <v>0.37777777777777777</v>
      </c>
      <c r="F17">
        <v>52.208880000000001</v>
      </c>
      <c r="G17">
        <v>-106.08559</v>
      </c>
      <c r="H17">
        <v>15</v>
      </c>
      <c r="I17">
        <v>0</v>
      </c>
      <c r="J17">
        <v>11</v>
      </c>
      <c r="K17" t="s">
        <v>95</v>
      </c>
      <c r="L17">
        <v>0.96</v>
      </c>
      <c r="M17">
        <v>1.1000000000000001</v>
      </c>
      <c r="N17">
        <v>0.75</v>
      </c>
      <c r="O17">
        <v>100</v>
      </c>
      <c r="P17">
        <v>0</v>
      </c>
      <c r="Q17">
        <v>0</v>
      </c>
      <c r="R17">
        <v>16</v>
      </c>
      <c r="S17">
        <v>10.4</v>
      </c>
      <c r="T17">
        <v>1.02</v>
      </c>
      <c r="U17">
        <v>954</v>
      </c>
      <c r="V17">
        <v>0.57999999999999996</v>
      </c>
      <c r="W17">
        <v>7.85</v>
      </c>
      <c r="X17">
        <v>16</v>
      </c>
      <c r="Y17">
        <v>9.1999999999999993</v>
      </c>
      <c r="Z17">
        <v>0.91</v>
      </c>
      <c r="AA17">
        <v>953</v>
      </c>
      <c r="AB17">
        <v>0.57999999999999996</v>
      </c>
      <c r="AC17">
        <v>7.75</v>
      </c>
      <c r="AD17">
        <f t="shared" si="0"/>
        <v>507.51957607589151</v>
      </c>
      <c r="AE17">
        <v>713.4</v>
      </c>
      <c r="AK17" t="s">
        <v>108</v>
      </c>
      <c r="AL17">
        <v>2.707652766666667</v>
      </c>
      <c r="AM17">
        <v>3.7179539555555552</v>
      </c>
      <c r="AN17">
        <f>VLOOKUP(C17, Triplex!$1:$1048576, 5, FALSE)</f>
        <v>0.98</v>
      </c>
      <c r="AO17">
        <f>VLOOKUP(C17, Triplex!$1:$1048576, 6, FALSE)</f>
        <v>1.0900000000000001</v>
      </c>
      <c r="AP17">
        <f>VLOOKUP(C17, Triplex!$1:$1048576, 7, FALSE)</f>
        <v>19.62</v>
      </c>
      <c r="AQ17">
        <f>VLOOKUP($C17, TN_TP!$1:$1048576, 6, FALSE)</f>
        <v>1.19</v>
      </c>
      <c r="AR17">
        <f>VLOOKUP($C17, TN_TP!$1:$1048576, 5, FALSE)</f>
        <v>3200</v>
      </c>
      <c r="AT17">
        <f>VLOOKUP($C17, TIC!$1:$1048576, 6, FALSE)</f>
        <v>73.046999999999997</v>
      </c>
      <c r="AV17">
        <f>VLOOKUP($C17, TOC!$1:$1048576, 6, FALSE)</f>
        <v>27.966000000000001</v>
      </c>
      <c r="AX17">
        <v>5104.9407427181404</v>
      </c>
      <c r="AY17">
        <v>210.82823479206499</v>
      </c>
      <c r="AZ17">
        <v>3.77837713267972</v>
      </c>
      <c r="BA17">
        <v>1732.02773454201</v>
      </c>
      <c r="BB17">
        <v>2.7270461867580802</v>
      </c>
      <c r="BC17">
        <v>5.41115357342659E-2</v>
      </c>
      <c r="BD17">
        <v>0.22178013084263001</v>
      </c>
      <c r="BE17">
        <v>6.7814650226073798</v>
      </c>
      <c r="BF17">
        <v>8.6294704988595206E-2</v>
      </c>
      <c r="BZ17" t="s">
        <v>103</v>
      </c>
      <c r="CG17" t="e">
        <f>VLOOKUP($A17, [1]Buoyancy_max!$B$1:$C$21, 2, FALSE)</f>
        <v>#N/A</v>
      </c>
      <c r="CH17" t="e">
        <f>VLOOKUP(A17, [2]Buoyancy_min!$B$1:$C$21, 2, FALSE)</f>
        <v>#N/A</v>
      </c>
    </row>
    <row r="18" spans="1:86" x14ac:dyDescent="0.25">
      <c r="A18" t="s">
        <v>237</v>
      </c>
      <c r="C18" t="str">
        <f t="shared" si="1"/>
        <v>P11843326</v>
      </c>
      <c r="D18" s="7">
        <v>43326</v>
      </c>
      <c r="E18" s="8">
        <v>0.42083333333333334</v>
      </c>
      <c r="F18">
        <v>52.209820000000001</v>
      </c>
      <c r="G18">
        <v>-106.08421</v>
      </c>
      <c r="H18">
        <v>17.399999999999999</v>
      </c>
      <c r="I18">
        <v>0</v>
      </c>
      <c r="J18">
        <v>8.6999999999999993</v>
      </c>
      <c r="K18" t="s">
        <v>95</v>
      </c>
      <c r="L18">
        <v>0.43</v>
      </c>
      <c r="M18">
        <v>0.43</v>
      </c>
      <c r="N18">
        <v>0.25</v>
      </c>
      <c r="O18">
        <v>95.6</v>
      </c>
      <c r="P18">
        <v>0</v>
      </c>
      <c r="Q18">
        <v>0</v>
      </c>
      <c r="R18">
        <v>15.3</v>
      </c>
      <c r="S18">
        <v>14.5</v>
      </c>
      <c r="T18">
        <v>1.45</v>
      </c>
      <c r="U18">
        <v>1217</v>
      </c>
      <c r="V18">
        <v>0.76</v>
      </c>
      <c r="W18">
        <v>7.8</v>
      </c>
      <c r="X18">
        <v>15.2</v>
      </c>
      <c r="Y18">
        <v>9.9</v>
      </c>
      <c r="Z18">
        <v>0.99</v>
      </c>
      <c r="AA18">
        <v>1210</v>
      </c>
      <c r="AB18">
        <v>0.76</v>
      </c>
      <c r="AC18">
        <v>7.74</v>
      </c>
      <c r="AD18">
        <f t="shared" si="0"/>
        <v>656.77121432357796</v>
      </c>
      <c r="AE18">
        <v>713.1</v>
      </c>
      <c r="AK18" t="s">
        <v>108</v>
      </c>
      <c r="AL18">
        <v>6.4806951666666652</v>
      </c>
      <c r="AM18">
        <v>12.676659416666666</v>
      </c>
      <c r="AN18">
        <f>VLOOKUP(C18, Triplex!$1:$1048576, 5, FALSE)</f>
        <v>0.34</v>
      </c>
      <c r="AO18">
        <f>VLOOKUP(C18, Triplex!$1:$1048576, 6, FALSE)</f>
        <v>4.51</v>
      </c>
      <c r="AP18">
        <f>VLOOKUP(C18, Triplex!$1:$1048576, 7, FALSE)</f>
        <v>7.7</v>
      </c>
      <c r="AQ18">
        <f>VLOOKUP($C18, TN_TP!$1:$1048576, 6, FALSE)</f>
        <v>4.34</v>
      </c>
      <c r="AR18">
        <f>VLOOKUP($C18, TN_TP!$1:$1048576, 5, FALSE)</f>
        <v>3790</v>
      </c>
      <c r="AT18">
        <f>VLOOKUP($C18, TIC!$1:$1048576, 6, FALSE)</f>
        <v>85.06</v>
      </c>
      <c r="AV18">
        <f>VLOOKUP($C18, TOC!$1:$1048576, 6, FALSE)</f>
        <v>45.347999999999999</v>
      </c>
      <c r="AX18">
        <v>5751.4267146714101</v>
      </c>
      <c r="AY18">
        <v>242.47621759535701</v>
      </c>
      <c r="AZ18">
        <v>3.3110497520494802</v>
      </c>
      <c r="BA18">
        <v>3812.8157015582801</v>
      </c>
      <c r="BB18">
        <v>6.0878236551340699</v>
      </c>
      <c r="BC18">
        <v>0.134784300346351</v>
      </c>
      <c r="BD18" s="12">
        <v>8.7374160583548785E-2</v>
      </c>
      <c r="BE18" s="12">
        <v>2.7297623771628832</v>
      </c>
      <c r="BF18" s="12"/>
      <c r="BZ18" t="s">
        <v>104</v>
      </c>
      <c r="CG18" t="e">
        <f>VLOOKUP($A18, [1]Buoyancy_max!$B$1:$C$21, 2, FALSE)</f>
        <v>#N/A</v>
      </c>
      <c r="CH18" t="e">
        <f>VLOOKUP(A18, [2]Buoyancy_min!$B$1:$C$21, 2, FALSE)</f>
        <v>#N/A</v>
      </c>
    </row>
    <row r="19" spans="1:86" x14ac:dyDescent="0.25">
      <c r="A19" t="s">
        <v>235</v>
      </c>
      <c r="C19" t="str">
        <f t="shared" si="1"/>
        <v>P10343326</v>
      </c>
      <c r="D19" s="7">
        <v>43326</v>
      </c>
      <c r="E19" s="8">
        <v>0.45069444444444445</v>
      </c>
      <c r="F19">
        <v>52.209359999999997</v>
      </c>
      <c r="G19">
        <v>-106.0838</v>
      </c>
      <c r="H19">
        <v>20.399999999999999</v>
      </c>
      <c r="I19">
        <v>2</v>
      </c>
      <c r="J19">
        <v>4.8</v>
      </c>
      <c r="K19" t="s">
        <v>95</v>
      </c>
      <c r="L19">
        <v>0.28000000000000003</v>
      </c>
      <c r="M19">
        <v>0.36</v>
      </c>
      <c r="N19">
        <v>0.25</v>
      </c>
      <c r="O19">
        <v>93.3</v>
      </c>
      <c r="P19">
        <v>0</v>
      </c>
      <c r="Q19">
        <v>0</v>
      </c>
      <c r="R19">
        <v>14.4</v>
      </c>
      <c r="S19">
        <v>2.9</v>
      </c>
      <c r="T19">
        <v>0.28999999999999998</v>
      </c>
      <c r="U19">
        <v>884</v>
      </c>
      <c r="V19">
        <v>0.56000000000000005</v>
      </c>
      <c r="W19">
        <v>7.82</v>
      </c>
      <c r="X19">
        <v>13.7</v>
      </c>
      <c r="Y19">
        <v>1.1000000000000001</v>
      </c>
      <c r="Z19">
        <v>0.11</v>
      </c>
      <c r="AA19">
        <v>867</v>
      </c>
      <c r="AB19">
        <v>0.55000000000000004</v>
      </c>
      <c r="AC19">
        <v>7.75</v>
      </c>
      <c r="AD19">
        <f t="shared" si="0"/>
        <v>467.83107204793373</v>
      </c>
      <c r="AE19">
        <v>712.5</v>
      </c>
      <c r="AK19" t="s">
        <v>108</v>
      </c>
      <c r="AL19">
        <v>148.54787066666668</v>
      </c>
      <c r="AM19">
        <v>152.58548683333333</v>
      </c>
      <c r="AN19">
        <f>VLOOKUP(C19, Triplex!$1:$1048576, 5, FALSE)</f>
        <v>0.52</v>
      </c>
      <c r="AO19">
        <f>VLOOKUP(C19, Triplex!$1:$1048576, 6, FALSE)</f>
        <v>2.2000000000000002</v>
      </c>
      <c r="AP19">
        <f>VLOOKUP(C19, Triplex!$1:$1048576, 7, FALSE)</f>
        <v>7.44</v>
      </c>
      <c r="AQ19">
        <f>VLOOKUP($C19, TN_TP!$1:$1048576, 6, FALSE)</f>
        <v>2.23</v>
      </c>
      <c r="AR19">
        <f>VLOOKUP($C19, TN_TP!$1:$1048576, 5, FALSE)</f>
        <v>3720</v>
      </c>
      <c r="AT19">
        <f>VLOOKUP($C19, TIC!$1:$1048576, 6, FALSE)</f>
        <v>76.153999999999996</v>
      </c>
      <c r="AV19">
        <f>VLOOKUP($C19, TOC!$1:$1048576, 6, FALSE)</f>
        <v>38.526000000000003</v>
      </c>
      <c r="AX19">
        <v>5371.1009963876304</v>
      </c>
      <c r="AY19">
        <v>233.022091760758</v>
      </c>
      <c r="AZ19">
        <v>20.4811366132522</v>
      </c>
      <c r="BA19">
        <v>19677.4525168156</v>
      </c>
      <c r="BB19">
        <v>32.079860889616</v>
      </c>
      <c r="BC19">
        <v>2.1542960978377401</v>
      </c>
      <c r="BD19">
        <v>0.13026974171745401</v>
      </c>
      <c r="BE19">
        <v>4.1954541467717403</v>
      </c>
      <c r="BF19">
        <v>0.27100817394040599</v>
      </c>
      <c r="BZ19" t="s">
        <v>105</v>
      </c>
      <c r="CG19" t="e">
        <f>VLOOKUP($A19, [1]Buoyancy_max!$B$1:$C$21, 2, FALSE)</f>
        <v>#N/A</v>
      </c>
      <c r="CH19" t="e">
        <f>VLOOKUP(A19, [2]Buoyancy_min!$B$1:$C$21, 2, FALSE)</f>
        <v>#N/A</v>
      </c>
    </row>
    <row r="20" spans="1:86" x14ac:dyDescent="0.25">
      <c r="A20" t="s">
        <v>238</v>
      </c>
      <c r="C20" t="str">
        <f t="shared" si="1"/>
        <v>P12043326</v>
      </c>
      <c r="D20" s="7">
        <v>43326</v>
      </c>
      <c r="E20" s="8">
        <v>0.5</v>
      </c>
      <c r="F20">
        <v>52.210929999999998</v>
      </c>
      <c r="G20">
        <v>-106.0825</v>
      </c>
      <c r="H20">
        <v>21.3</v>
      </c>
      <c r="I20">
        <v>2</v>
      </c>
      <c r="J20">
        <v>7.6</v>
      </c>
      <c r="K20" t="s">
        <v>95</v>
      </c>
      <c r="L20">
        <v>0.41</v>
      </c>
      <c r="M20">
        <v>0.41</v>
      </c>
      <c r="N20">
        <v>0.25</v>
      </c>
      <c r="O20">
        <v>94.4</v>
      </c>
      <c r="P20">
        <v>0</v>
      </c>
      <c r="Q20">
        <v>0</v>
      </c>
      <c r="R20">
        <v>18.2</v>
      </c>
      <c r="S20">
        <v>117</v>
      </c>
      <c r="T20">
        <v>10.8</v>
      </c>
      <c r="U20">
        <v>822</v>
      </c>
      <c r="V20">
        <v>0.47</v>
      </c>
      <c r="W20">
        <v>9</v>
      </c>
      <c r="X20">
        <v>16.600000000000001</v>
      </c>
      <c r="Y20">
        <v>114.3</v>
      </c>
      <c r="Z20">
        <v>11</v>
      </c>
      <c r="AA20">
        <v>796</v>
      </c>
      <c r="AB20">
        <v>0.47</v>
      </c>
      <c r="AC20">
        <v>9</v>
      </c>
      <c r="AD20">
        <f t="shared" si="0"/>
        <v>432.69114906845761</v>
      </c>
      <c r="AE20">
        <v>711.7</v>
      </c>
      <c r="AK20" t="s">
        <v>108</v>
      </c>
      <c r="AL20">
        <v>6.5056283333333331</v>
      </c>
      <c r="AM20">
        <v>10.268689999999999</v>
      </c>
      <c r="AN20">
        <f>VLOOKUP(C20, Triplex!$1:$1048576, 5, FALSE)</f>
        <v>0.1</v>
      </c>
      <c r="AO20">
        <f>VLOOKUP(C20, Triplex!$1:$1048576, 6, FALSE)</f>
        <v>1.1200000000000001</v>
      </c>
      <c r="AP20">
        <f>VLOOKUP(C20, Triplex!$1:$1048576, 7, FALSE)</f>
        <v>4.3099999999999996</v>
      </c>
      <c r="AQ20">
        <f>VLOOKUP($C20, TN_TP!$1:$1048576, 6, FALSE)</f>
        <v>1.21</v>
      </c>
      <c r="AR20">
        <f>VLOOKUP($C20, TN_TP!$1:$1048576, 5, FALSE)</f>
        <v>3110</v>
      </c>
      <c r="AT20">
        <f>VLOOKUP($C20, TIC!$1:$1048576, 6, FALSE)</f>
        <v>53.954000000000001</v>
      </c>
      <c r="AV20">
        <f>VLOOKUP($C20, TOC!$1:$1048576, 6, FALSE)</f>
        <v>37.695</v>
      </c>
      <c r="AX20">
        <v>214.663015430016</v>
      </c>
      <c r="AY20">
        <v>8.2726399587076997</v>
      </c>
      <c r="AZ20">
        <v>0.51727462315819095</v>
      </c>
      <c r="BA20">
        <v>336.45724833439601</v>
      </c>
      <c r="BB20">
        <v>0.50435833761263704</v>
      </c>
      <c r="BC20">
        <v>1.3222077308039201E-2</v>
      </c>
      <c r="BD20">
        <v>0.14400785300907901</v>
      </c>
      <c r="BE20">
        <v>4.09570061058667</v>
      </c>
      <c r="BF20">
        <v>0.123615251859592</v>
      </c>
      <c r="BZ20" t="s">
        <v>106</v>
      </c>
      <c r="CG20" t="e">
        <f>VLOOKUP($A20, [1]Buoyancy_max!$B$1:$C$21, 2, FALSE)</f>
        <v>#N/A</v>
      </c>
      <c r="CH20" t="e">
        <f>VLOOKUP(A20, [2]Buoyancy_min!$B$1:$C$21, 2, FALSE)</f>
        <v>#N/A</v>
      </c>
    </row>
    <row r="21" spans="1:86" x14ac:dyDescent="0.25">
      <c r="A21" t="s">
        <v>239</v>
      </c>
      <c r="C21" t="str">
        <f t="shared" si="1"/>
        <v>P12443326</v>
      </c>
      <c r="D21" s="7">
        <v>43326</v>
      </c>
      <c r="E21" s="8">
        <v>0.53611111111111109</v>
      </c>
      <c r="F21">
        <v>52.211539999999999</v>
      </c>
      <c r="G21">
        <v>-106.08027</v>
      </c>
      <c r="H21">
        <v>24.4</v>
      </c>
      <c r="I21">
        <v>2</v>
      </c>
      <c r="J21">
        <v>1</v>
      </c>
      <c r="K21" t="s">
        <v>95</v>
      </c>
      <c r="L21">
        <v>1</v>
      </c>
      <c r="M21">
        <v>1</v>
      </c>
      <c r="N21">
        <v>1</v>
      </c>
      <c r="O21">
        <v>101</v>
      </c>
      <c r="P21">
        <v>0</v>
      </c>
      <c r="Q21">
        <v>0</v>
      </c>
      <c r="R21">
        <v>16.399999999999999</v>
      </c>
      <c r="S21">
        <v>46.3</v>
      </c>
      <c r="T21">
        <v>4.57</v>
      </c>
      <c r="U21">
        <v>2702</v>
      </c>
      <c r="V21">
        <v>1.7</v>
      </c>
      <c r="W21">
        <v>8.68</v>
      </c>
      <c r="X21">
        <v>15.3</v>
      </c>
      <c r="Y21">
        <v>36.200000000000003</v>
      </c>
      <c r="Z21">
        <v>3.62</v>
      </c>
      <c r="AA21">
        <v>2634</v>
      </c>
      <c r="AB21">
        <v>1.7</v>
      </c>
      <c r="AC21">
        <v>8.7200000000000006</v>
      </c>
      <c r="AD21">
        <f t="shared" si="0"/>
        <v>1503.5146842030365</v>
      </c>
      <c r="AE21">
        <v>711.5</v>
      </c>
      <c r="AK21" t="s">
        <v>108</v>
      </c>
      <c r="AL21">
        <v>-4.2464992500000012</v>
      </c>
      <c r="AM21">
        <v>1.6115892500000002</v>
      </c>
      <c r="AN21">
        <f>VLOOKUP(C21, Triplex!$1:$1048576, 5, FALSE)</f>
        <v>0.12</v>
      </c>
      <c r="AO21">
        <f>VLOOKUP(C21, Triplex!$1:$1048576, 6, FALSE)</f>
        <v>0.05</v>
      </c>
      <c r="AP21">
        <f>VLOOKUP(C21, Triplex!$1:$1048576, 7, FALSE)</f>
        <v>5.69</v>
      </c>
      <c r="AQ21">
        <f>VLOOKUP($C21, TN_TP!$1:$1048576, 6, FALSE)</f>
        <v>0.09</v>
      </c>
      <c r="AR21">
        <f>VLOOKUP($C21, TN_TP!$1:$1048576, 5, FALSE)</f>
        <v>3270</v>
      </c>
      <c r="AT21">
        <f>VLOOKUP($C21, TIC!$1:$1048576, 6, FALSE)</f>
        <v>37.113</v>
      </c>
      <c r="AV21">
        <f>VLOOKUP($C21, TOC!$1:$1048576, 6, FALSE)</f>
        <v>37.338999999999999</v>
      </c>
      <c r="AX21">
        <v>254.04033788507601</v>
      </c>
      <c r="AY21">
        <v>10.279268046463301</v>
      </c>
      <c r="AZ21">
        <v>0.22379187264827699</v>
      </c>
      <c r="BA21">
        <v>234.50359110292101</v>
      </c>
      <c r="BB21">
        <v>0.36240492858908202</v>
      </c>
      <c r="BC21">
        <v>3.78221104391014E-3</v>
      </c>
      <c r="BD21">
        <v>0.20852410623005499</v>
      </c>
      <c r="BE21">
        <v>6.23410238298219</v>
      </c>
      <c r="BF21">
        <v>1.8494668181246201E-2</v>
      </c>
      <c r="BZ21" t="s">
        <v>107</v>
      </c>
      <c r="CG21" t="e">
        <f>VLOOKUP($A21, [1]Buoyancy_max!$B$1:$C$21, 2, FALSE)</f>
        <v>#N/A</v>
      </c>
      <c r="CH21" t="e">
        <f>VLOOKUP(A21, [2]Buoyancy_min!$B$1:$C$21, 2, FALSE)</f>
        <v>#N/A</v>
      </c>
    </row>
    <row r="22" spans="1:86" x14ac:dyDescent="0.25">
      <c r="A22"/>
    </row>
    <row r="23" spans="1:86" x14ac:dyDescent="0.25">
      <c r="A23"/>
    </row>
    <row r="24" spans="1:86" x14ac:dyDescent="0.25">
      <c r="A24"/>
    </row>
    <row r="25" spans="1:86" x14ac:dyDescent="0.25">
      <c r="A25"/>
    </row>
    <row r="26" spans="1:86" x14ac:dyDescent="0.25">
      <c r="A26"/>
    </row>
    <row r="27" spans="1:86" x14ac:dyDescent="0.25">
      <c r="A27"/>
    </row>
    <row r="28" spans="1:86" x14ac:dyDescent="0.25">
      <c r="A28"/>
    </row>
    <row r="29" spans="1:86" x14ac:dyDescent="0.25">
      <c r="A29"/>
    </row>
    <row r="30" spans="1:86" x14ac:dyDescent="0.25">
      <c r="A30"/>
    </row>
    <row r="31" spans="1:86" x14ac:dyDescent="0.25">
      <c r="A31"/>
    </row>
    <row r="32" spans="1:86"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sheetData>
  <pageMargins left="0.7" right="0.7" top="0.75" bottom="0.75" header="0.3" footer="0.3"/>
  <pageSetup orientation="portrait"/>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8C357-C875-46FE-9E22-5082BAC2E995}">
  <dimension ref="A1:J121"/>
  <sheetViews>
    <sheetView workbookViewId="0">
      <selection activeCell="C122" sqref="C122"/>
    </sheetView>
  </sheetViews>
  <sheetFormatPr defaultColWidth="8.85546875" defaultRowHeight="15" x14ac:dyDescent="0.25"/>
  <cols>
    <col min="1" max="1" width="11.42578125" bestFit="1" customWidth="1"/>
    <col min="3" max="3" width="10.140625" bestFit="1" customWidth="1"/>
    <col min="4" max="4" width="13.7109375" style="25" customWidth="1"/>
    <col min="5" max="5" width="11.7109375" style="25" customWidth="1"/>
    <col min="6" max="6" width="11.7109375" style="26" customWidth="1"/>
    <col min="7" max="7" width="11.7109375" style="27" customWidth="1"/>
    <col min="8" max="8" width="8.85546875" style="16"/>
    <col min="10" max="10" width="9.140625" customWidth="1"/>
  </cols>
  <sheetData>
    <row r="1" spans="1:7" ht="34.5" customHeight="1" thickBot="1" x14ac:dyDescent="0.3">
      <c r="A1" s="13" t="s">
        <v>2</v>
      </c>
      <c r="B1" s="13" t="s">
        <v>0</v>
      </c>
      <c r="C1" s="13" t="s">
        <v>3</v>
      </c>
      <c r="D1" s="13" t="s">
        <v>109</v>
      </c>
      <c r="E1" s="13" t="s">
        <v>110</v>
      </c>
      <c r="F1" s="14" t="s">
        <v>111</v>
      </c>
      <c r="G1" s="15" t="s">
        <v>112</v>
      </c>
    </row>
    <row r="2" spans="1:7" ht="15.75" thickTop="1" x14ac:dyDescent="0.25">
      <c r="A2" t="str">
        <f>B2&amp;C2</f>
        <v>2343321</v>
      </c>
      <c r="B2">
        <v>23</v>
      </c>
      <c r="C2" s="7">
        <v>43321</v>
      </c>
      <c r="D2" s="17" t="s">
        <v>113</v>
      </c>
      <c r="E2" s="18">
        <v>0.13</v>
      </c>
      <c r="F2" s="19">
        <v>0.02</v>
      </c>
      <c r="G2" s="20">
        <v>5.87</v>
      </c>
    </row>
    <row r="3" spans="1:7" x14ac:dyDescent="0.25">
      <c r="A3" t="str">
        <f t="shared" ref="A3:A66" si="0">B3&amp;C3</f>
        <v>2343237</v>
      </c>
      <c r="B3">
        <v>23</v>
      </c>
      <c r="C3" s="7">
        <v>43237</v>
      </c>
      <c r="D3" s="17" t="s">
        <v>114</v>
      </c>
      <c r="E3" s="18">
        <v>0.04</v>
      </c>
      <c r="F3" s="19">
        <v>9.1299999999999992E-3</v>
      </c>
      <c r="G3" s="20">
        <v>5.94</v>
      </c>
    </row>
    <row r="4" spans="1:7" x14ac:dyDescent="0.25">
      <c r="A4" t="str">
        <f t="shared" si="0"/>
        <v>2343370</v>
      </c>
      <c r="B4">
        <v>23</v>
      </c>
      <c r="C4" s="7">
        <v>43370</v>
      </c>
      <c r="D4" s="17" t="s">
        <v>115</v>
      </c>
      <c r="E4" s="18">
        <v>0.05</v>
      </c>
      <c r="F4" s="19">
        <v>0.01</v>
      </c>
      <c r="G4" s="20">
        <v>9.26</v>
      </c>
    </row>
    <row r="5" spans="1:7" x14ac:dyDescent="0.25">
      <c r="A5" t="str">
        <f t="shared" si="0"/>
        <v>2343262</v>
      </c>
      <c r="B5">
        <v>23</v>
      </c>
      <c r="C5" s="7">
        <v>43262</v>
      </c>
      <c r="D5" s="17" t="s">
        <v>116</v>
      </c>
      <c r="E5" s="18">
        <v>0.01</v>
      </c>
      <c r="F5" s="19">
        <v>0.02</v>
      </c>
      <c r="G5" s="20">
        <v>38.270000000000003</v>
      </c>
    </row>
    <row r="6" spans="1:7" x14ac:dyDescent="0.25">
      <c r="A6" t="str">
        <f t="shared" si="0"/>
        <v>2343293</v>
      </c>
      <c r="B6">
        <v>23</v>
      </c>
      <c r="C6" s="7">
        <v>43293</v>
      </c>
      <c r="D6" s="21" t="s">
        <v>117</v>
      </c>
      <c r="E6" s="18">
        <v>0.14000000000000001</v>
      </c>
      <c r="F6" s="19">
        <v>0.01</v>
      </c>
      <c r="G6" s="20">
        <v>11.15</v>
      </c>
    </row>
    <row r="7" spans="1:7" x14ac:dyDescent="0.25">
      <c r="A7" t="str">
        <f t="shared" si="0"/>
        <v>6843216</v>
      </c>
      <c r="B7">
        <v>68</v>
      </c>
      <c r="C7" s="7">
        <v>43216</v>
      </c>
      <c r="D7" s="22" t="s">
        <v>118</v>
      </c>
      <c r="E7" s="18">
        <v>3.45</v>
      </c>
      <c r="F7" s="19">
        <v>7.2100000000000003E-3</v>
      </c>
      <c r="G7">
        <v>3206.76</v>
      </c>
    </row>
    <row r="8" spans="1:7" x14ac:dyDescent="0.25">
      <c r="A8" t="str">
        <f t="shared" si="0"/>
        <v>6843238</v>
      </c>
      <c r="B8">
        <v>68</v>
      </c>
      <c r="C8" s="7">
        <v>43238</v>
      </c>
      <c r="D8" s="22" t="s">
        <v>119</v>
      </c>
      <c r="E8" s="18">
        <v>0.57999999999999996</v>
      </c>
      <c r="F8" s="19">
        <v>0.04</v>
      </c>
      <c r="G8" s="20">
        <v>104.64</v>
      </c>
    </row>
    <row r="9" spans="1:7" x14ac:dyDescent="0.25">
      <c r="A9" t="str">
        <f t="shared" si="0"/>
        <v>6843294</v>
      </c>
      <c r="B9">
        <v>68</v>
      </c>
      <c r="C9" s="7">
        <v>43294</v>
      </c>
      <c r="D9" s="22" t="s">
        <v>120</v>
      </c>
      <c r="E9" s="18">
        <v>0.03</v>
      </c>
      <c r="F9" s="19">
        <v>0.91</v>
      </c>
      <c r="G9" s="20">
        <v>131.11000000000001</v>
      </c>
    </row>
    <row r="10" spans="1:7" x14ac:dyDescent="0.25">
      <c r="A10" t="str">
        <f t="shared" si="0"/>
        <v>14A43371</v>
      </c>
      <c r="B10" t="s">
        <v>121</v>
      </c>
      <c r="C10" s="7">
        <v>43371</v>
      </c>
      <c r="D10" s="22" t="s">
        <v>122</v>
      </c>
      <c r="E10" s="18">
        <v>0.65</v>
      </c>
      <c r="F10" s="19">
        <v>1.82</v>
      </c>
      <c r="G10" s="20">
        <v>82.43</v>
      </c>
    </row>
    <row r="11" spans="1:7" x14ac:dyDescent="0.25">
      <c r="A11" t="str">
        <f t="shared" si="0"/>
        <v>14A43238</v>
      </c>
      <c r="B11" t="s">
        <v>121</v>
      </c>
      <c r="C11" s="7">
        <v>43238</v>
      </c>
      <c r="D11" s="22" t="s">
        <v>123</v>
      </c>
      <c r="E11" s="18">
        <v>0.24</v>
      </c>
      <c r="F11" s="19">
        <v>1.77</v>
      </c>
      <c r="G11" s="20">
        <v>9.02</v>
      </c>
    </row>
    <row r="12" spans="1:7" x14ac:dyDescent="0.25">
      <c r="A12" t="str">
        <f t="shared" si="0"/>
        <v>14A43294</v>
      </c>
      <c r="B12" t="s">
        <v>121</v>
      </c>
      <c r="C12" s="7">
        <v>43294</v>
      </c>
      <c r="D12" s="22" t="s">
        <v>124</v>
      </c>
      <c r="E12" s="18">
        <v>0.08</v>
      </c>
      <c r="F12" s="19">
        <v>2.89</v>
      </c>
      <c r="G12">
        <v>2967.72</v>
      </c>
    </row>
    <row r="13" spans="1:7" x14ac:dyDescent="0.25">
      <c r="A13" t="str">
        <f t="shared" si="0"/>
        <v>14A43216</v>
      </c>
      <c r="B13" t="s">
        <v>121</v>
      </c>
      <c r="C13" s="7">
        <v>43216</v>
      </c>
      <c r="D13" s="22" t="s">
        <v>125</v>
      </c>
      <c r="E13" s="18">
        <v>2.58</v>
      </c>
      <c r="F13" s="19">
        <v>1.73</v>
      </c>
      <c r="G13" s="20">
        <v>562.04999999999995</v>
      </c>
    </row>
    <row r="14" spans="1:7" x14ac:dyDescent="0.25">
      <c r="A14" t="str">
        <f t="shared" si="0"/>
        <v>14A0 Hr</v>
      </c>
      <c r="B14" t="s">
        <v>121</v>
      </c>
      <c r="C14" t="s">
        <v>126</v>
      </c>
      <c r="D14" s="22" t="s">
        <v>127</v>
      </c>
      <c r="E14">
        <v>2.2400000000000002</v>
      </c>
      <c r="F14" s="23">
        <v>3.48</v>
      </c>
      <c r="G14" s="16">
        <v>2912.72</v>
      </c>
    </row>
    <row r="15" spans="1:7" ht="24.75" x14ac:dyDescent="0.25">
      <c r="A15" t="str">
        <f t="shared" si="0"/>
        <v>14A12 Hr</v>
      </c>
      <c r="B15" t="s">
        <v>121</v>
      </c>
      <c r="C15" t="s">
        <v>128</v>
      </c>
      <c r="D15" s="22" t="s">
        <v>129</v>
      </c>
      <c r="E15">
        <v>1.08</v>
      </c>
      <c r="F15" s="23">
        <v>3.72</v>
      </c>
      <c r="G15" s="16">
        <v>4080</v>
      </c>
    </row>
    <row r="16" spans="1:7" ht="24.75" x14ac:dyDescent="0.25">
      <c r="A16" t="str">
        <f t="shared" si="0"/>
        <v>14A24 Hr</v>
      </c>
      <c r="B16" t="s">
        <v>121</v>
      </c>
      <c r="C16" t="s">
        <v>130</v>
      </c>
      <c r="D16" s="22" t="s">
        <v>131</v>
      </c>
      <c r="E16">
        <v>2.52</v>
      </c>
      <c r="F16" s="23">
        <v>3.76</v>
      </c>
      <c r="G16" s="16">
        <v>2953</v>
      </c>
    </row>
    <row r="17" spans="1:7" x14ac:dyDescent="0.25">
      <c r="A17" t="str">
        <f t="shared" si="0"/>
        <v>14B43371</v>
      </c>
      <c r="B17" t="s">
        <v>132</v>
      </c>
      <c r="C17" s="7">
        <v>43371</v>
      </c>
      <c r="D17" s="22" t="s">
        <v>133</v>
      </c>
      <c r="E17" s="18">
        <v>7.0000000000000007E-2</v>
      </c>
      <c r="F17" s="19">
        <v>0.16</v>
      </c>
      <c r="G17" s="20">
        <v>18.25</v>
      </c>
    </row>
    <row r="18" spans="1:7" x14ac:dyDescent="0.25">
      <c r="A18" t="str">
        <f t="shared" si="0"/>
        <v>14B43238</v>
      </c>
      <c r="B18" t="s">
        <v>132</v>
      </c>
      <c r="C18" s="7">
        <v>43238</v>
      </c>
      <c r="D18" s="22" t="s">
        <v>134</v>
      </c>
      <c r="E18" s="18">
        <v>7.0000000000000007E-2</v>
      </c>
      <c r="F18" s="19">
        <v>0.28000000000000003</v>
      </c>
      <c r="G18" s="20">
        <v>10.130000000000001</v>
      </c>
    </row>
    <row r="19" spans="1:7" x14ac:dyDescent="0.25">
      <c r="A19" t="str">
        <f t="shared" si="0"/>
        <v>14B43216</v>
      </c>
      <c r="B19" t="s">
        <v>132</v>
      </c>
      <c r="C19" s="7">
        <v>43216</v>
      </c>
      <c r="D19" s="22" t="s">
        <v>135</v>
      </c>
      <c r="E19" s="18">
        <v>0.36</v>
      </c>
      <c r="F19" s="19">
        <v>0.62</v>
      </c>
      <c r="G19" s="20">
        <v>468.29</v>
      </c>
    </row>
    <row r="20" spans="1:7" x14ac:dyDescent="0.25">
      <c r="A20" t="str">
        <f t="shared" si="0"/>
        <v>14B43294</v>
      </c>
      <c r="B20" t="s">
        <v>132</v>
      </c>
      <c r="C20" s="7">
        <v>43294</v>
      </c>
      <c r="D20" s="22" t="s">
        <v>136</v>
      </c>
      <c r="E20" s="18">
        <v>0.03</v>
      </c>
      <c r="F20" s="19">
        <v>0.14000000000000001</v>
      </c>
      <c r="G20" s="20">
        <v>236.96</v>
      </c>
    </row>
    <row r="21" spans="1:7" x14ac:dyDescent="0.25">
      <c r="A21" t="str">
        <f t="shared" si="0"/>
        <v>230 Hr</v>
      </c>
      <c r="B21">
        <v>23</v>
      </c>
      <c r="C21" t="s">
        <v>126</v>
      </c>
      <c r="D21" s="22" t="s">
        <v>137</v>
      </c>
      <c r="E21" s="18">
        <v>0.12</v>
      </c>
      <c r="F21" s="19">
        <v>8.9700000000000005E-3</v>
      </c>
      <c r="G21" s="20">
        <v>11.49</v>
      </c>
    </row>
    <row r="22" spans="1:7" x14ac:dyDescent="0.25">
      <c r="A22" t="str">
        <f t="shared" si="0"/>
        <v>2312 Hr</v>
      </c>
      <c r="B22">
        <v>23</v>
      </c>
      <c r="C22" t="s">
        <v>128</v>
      </c>
      <c r="D22" s="22" t="s">
        <v>138</v>
      </c>
      <c r="E22" s="18">
        <v>0.08</v>
      </c>
      <c r="F22" s="19">
        <v>1.1199999999999999E-3</v>
      </c>
      <c r="G22" s="20">
        <v>6.84</v>
      </c>
    </row>
    <row r="23" spans="1:7" x14ac:dyDescent="0.25">
      <c r="A23" t="str">
        <f t="shared" si="0"/>
        <v>2324 Hr</v>
      </c>
      <c r="B23">
        <v>23</v>
      </c>
      <c r="C23" t="s">
        <v>130</v>
      </c>
      <c r="D23" s="22" t="s">
        <v>139</v>
      </c>
      <c r="E23" s="18">
        <v>0.12</v>
      </c>
      <c r="F23" s="19">
        <v>1E-3</v>
      </c>
      <c r="G23" s="20">
        <v>6.42</v>
      </c>
    </row>
    <row r="24" spans="1:7" x14ac:dyDescent="0.25">
      <c r="A24" t="str">
        <f t="shared" si="0"/>
        <v>32A43370</v>
      </c>
      <c r="B24" t="s">
        <v>140</v>
      </c>
      <c r="C24" s="7">
        <v>43370</v>
      </c>
      <c r="D24" s="22" t="s">
        <v>141</v>
      </c>
      <c r="E24" s="18">
        <v>2.0099999999999998</v>
      </c>
      <c r="F24" s="19">
        <v>0.72</v>
      </c>
      <c r="G24" s="20">
        <v>17.3</v>
      </c>
    </row>
    <row r="25" spans="1:7" x14ac:dyDescent="0.25">
      <c r="A25" t="str">
        <f t="shared" si="0"/>
        <v>32A43221</v>
      </c>
      <c r="B25" t="s">
        <v>140</v>
      </c>
      <c r="C25" s="7">
        <v>43221</v>
      </c>
      <c r="D25" s="22" t="s">
        <v>142</v>
      </c>
      <c r="E25" s="18">
        <v>0.73</v>
      </c>
      <c r="F25" s="19">
        <v>0.62</v>
      </c>
      <c r="G25" s="20">
        <v>525.42999999999995</v>
      </c>
    </row>
    <row r="26" spans="1:7" x14ac:dyDescent="0.25">
      <c r="A26" t="str">
        <f t="shared" si="0"/>
        <v>32A43293</v>
      </c>
      <c r="B26" t="s">
        <v>140</v>
      </c>
      <c r="C26" s="7">
        <v>43293</v>
      </c>
      <c r="D26" s="22" t="s">
        <v>143</v>
      </c>
      <c r="E26" s="18">
        <v>0.11</v>
      </c>
      <c r="F26" s="19">
        <v>0.51</v>
      </c>
      <c r="G26" s="20">
        <v>16.68</v>
      </c>
    </row>
    <row r="27" spans="1:7" x14ac:dyDescent="0.25">
      <c r="A27" t="str">
        <f t="shared" si="0"/>
        <v>32A43243</v>
      </c>
      <c r="B27" t="s">
        <v>140</v>
      </c>
      <c r="C27" s="7">
        <v>43243</v>
      </c>
      <c r="D27" s="22" t="s">
        <v>144</v>
      </c>
      <c r="E27" s="18">
        <v>0.04</v>
      </c>
      <c r="F27" s="19">
        <v>0.39</v>
      </c>
      <c r="G27" s="20">
        <v>13.14</v>
      </c>
    </row>
    <row r="28" spans="1:7" x14ac:dyDescent="0.25">
      <c r="A28" t="str">
        <f t="shared" si="0"/>
        <v>32B43370</v>
      </c>
      <c r="B28" t="s">
        <v>145</v>
      </c>
      <c r="C28" s="7">
        <v>43370</v>
      </c>
      <c r="D28" s="22" t="s">
        <v>146</v>
      </c>
      <c r="E28" s="18">
        <v>0.12</v>
      </c>
      <c r="F28" s="19">
        <v>0.52</v>
      </c>
      <c r="G28" s="20">
        <v>6.4</v>
      </c>
    </row>
    <row r="29" spans="1:7" x14ac:dyDescent="0.25">
      <c r="A29" t="str">
        <f t="shared" si="0"/>
        <v>32B43221</v>
      </c>
      <c r="B29" t="s">
        <v>145</v>
      </c>
      <c r="C29" s="7">
        <v>43221</v>
      </c>
      <c r="D29" s="22" t="s">
        <v>147</v>
      </c>
      <c r="E29" s="18">
        <v>0.13</v>
      </c>
      <c r="F29" s="19">
        <v>1.22</v>
      </c>
      <c r="G29" s="20">
        <v>384.09</v>
      </c>
    </row>
    <row r="30" spans="1:7" x14ac:dyDescent="0.25">
      <c r="A30" t="str">
        <f t="shared" si="0"/>
        <v>32B43243</v>
      </c>
      <c r="B30" t="s">
        <v>145</v>
      </c>
      <c r="C30" s="7">
        <v>43243</v>
      </c>
      <c r="D30" s="22" t="s">
        <v>148</v>
      </c>
      <c r="E30" s="18">
        <v>0.12</v>
      </c>
      <c r="F30" s="19">
        <v>1.1100000000000001</v>
      </c>
      <c r="G30" s="20">
        <v>73.78</v>
      </c>
    </row>
    <row r="31" spans="1:7" x14ac:dyDescent="0.25">
      <c r="A31" t="str">
        <f t="shared" si="0"/>
        <v>32B43293</v>
      </c>
      <c r="B31" t="s">
        <v>145</v>
      </c>
      <c r="C31" s="7">
        <v>43293</v>
      </c>
      <c r="D31" s="22" t="s">
        <v>149</v>
      </c>
      <c r="E31" s="18">
        <v>7.0000000000000007E-2</v>
      </c>
      <c r="F31" s="19">
        <v>0.54</v>
      </c>
      <c r="G31" s="20">
        <v>7.36</v>
      </c>
    </row>
    <row r="32" spans="1:7" x14ac:dyDescent="0.25">
      <c r="A32" t="str">
        <f t="shared" si="0"/>
        <v>32C43237</v>
      </c>
      <c r="B32" t="s">
        <v>150</v>
      </c>
      <c r="C32" s="7">
        <v>43237</v>
      </c>
      <c r="D32" s="22" t="s">
        <v>151</v>
      </c>
      <c r="E32" s="18">
        <v>0.06</v>
      </c>
      <c r="F32" s="19">
        <v>0.25</v>
      </c>
      <c r="G32" s="20">
        <v>4.16</v>
      </c>
    </row>
    <row r="33" spans="1:7" x14ac:dyDescent="0.25">
      <c r="A33" t="str">
        <f t="shared" si="0"/>
        <v>32C43221</v>
      </c>
      <c r="B33" t="s">
        <v>150</v>
      </c>
      <c r="C33" s="7">
        <v>43221</v>
      </c>
      <c r="D33" s="22" t="s">
        <v>152</v>
      </c>
      <c r="E33" s="18">
        <v>0.12</v>
      </c>
      <c r="F33" s="19">
        <v>0.32</v>
      </c>
      <c r="G33" s="20">
        <v>248.76</v>
      </c>
    </row>
    <row r="34" spans="1:7" x14ac:dyDescent="0.25">
      <c r="A34" t="str">
        <f t="shared" si="0"/>
        <v>32C43370</v>
      </c>
      <c r="B34" t="s">
        <v>150</v>
      </c>
      <c r="C34" s="7">
        <v>43370</v>
      </c>
      <c r="D34" s="22" t="s">
        <v>153</v>
      </c>
      <c r="E34" s="18">
        <v>0.08</v>
      </c>
      <c r="F34" s="19">
        <v>0.06</v>
      </c>
      <c r="G34" s="20">
        <v>12.58</v>
      </c>
    </row>
    <row r="35" spans="1:7" x14ac:dyDescent="0.25">
      <c r="A35" t="str">
        <f t="shared" si="0"/>
        <v>32C43293</v>
      </c>
      <c r="B35" t="s">
        <v>150</v>
      </c>
      <c r="C35" s="7">
        <v>43293</v>
      </c>
      <c r="D35" s="22" t="s">
        <v>154</v>
      </c>
      <c r="E35" s="18">
        <v>0.06</v>
      </c>
      <c r="F35" s="19">
        <v>0.16</v>
      </c>
      <c r="G35" s="20">
        <v>196.63</v>
      </c>
    </row>
    <row r="36" spans="1:7" x14ac:dyDescent="0.25">
      <c r="A36" t="str">
        <f t="shared" si="0"/>
        <v>4A43234</v>
      </c>
      <c r="B36" t="s">
        <v>155</v>
      </c>
      <c r="C36" s="7">
        <v>43234</v>
      </c>
      <c r="D36" s="22" t="s">
        <v>156</v>
      </c>
      <c r="E36" s="18">
        <v>0.19</v>
      </c>
      <c r="F36" s="19">
        <v>0.04</v>
      </c>
      <c r="G36" s="20">
        <v>49.1</v>
      </c>
    </row>
    <row r="37" spans="1:7" x14ac:dyDescent="0.25">
      <c r="A37" t="str">
        <f t="shared" si="0"/>
        <v>4A43320</v>
      </c>
      <c r="B37" t="s">
        <v>155</v>
      </c>
      <c r="C37" s="7">
        <v>43320</v>
      </c>
      <c r="D37" s="22" t="s">
        <v>157</v>
      </c>
      <c r="E37" s="18">
        <v>0.09</v>
      </c>
      <c r="F37" s="19">
        <v>0.16</v>
      </c>
      <c r="G37" s="20">
        <v>12.82</v>
      </c>
    </row>
    <row r="38" spans="1:7" x14ac:dyDescent="0.25">
      <c r="A38" t="str">
        <f t="shared" si="0"/>
        <v>4A43367</v>
      </c>
      <c r="B38" t="s">
        <v>155</v>
      </c>
      <c r="C38" s="7">
        <v>43367</v>
      </c>
      <c r="D38" s="22" t="s">
        <v>158</v>
      </c>
      <c r="E38" s="18">
        <v>0.3</v>
      </c>
      <c r="F38" s="19">
        <v>0.1</v>
      </c>
      <c r="G38" s="20">
        <v>20.68</v>
      </c>
    </row>
    <row r="39" spans="1:7" x14ac:dyDescent="0.25">
      <c r="A39" t="str">
        <f t="shared" si="0"/>
        <v>4A43290</v>
      </c>
      <c r="B39" t="s">
        <v>155</v>
      </c>
      <c r="C39" s="7">
        <v>43290</v>
      </c>
      <c r="D39" s="22" t="s">
        <v>159</v>
      </c>
      <c r="E39" s="18">
        <v>0.06</v>
      </c>
      <c r="F39" s="19">
        <v>0.04</v>
      </c>
      <c r="G39" s="20">
        <v>14.57</v>
      </c>
    </row>
    <row r="40" spans="1:7" x14ac:dyDescent="0.25">
      <c r="A40" t="str">
        <f t="shared" si="0"/>
        <v>4A43262</v>
      </c>
      <c r="B40" t="s">
        <v>155</v>
      </c>
      <c r="C40" s="7">
        <v>43262</v>
      </c>
      <c r="D40" s="22" t="s">
        <v>160</v>
      </c>
      <c r="E40" s="18">
        <v>0.03</v>
      </c>
      <c r="F40" s="19">
        <v>0.08</v>
      </c>
      <c r="G40" s="20">
        <v>124.95</v>
      </c>
    </row>
    <row r="41" spans="1:7" x14ac:dyDescent="0.25">
      <c r="A41" t="str">
        <f t="shared" si="0"/>
        <v>4A43214</v>
      </c>
      <c r="B41" t="s">
        <v>155</v>
      </c>
      <c r="C41" s="7">
        <v>43214</v>
      </c>
      <c r="D41" s="22" t="s">
        <v>161</v>
      </c>
      <c r="E41" s="18">
        <v>0.02</v>
      </c>
      <c r="F41" s="19">
        <v>0.13</v>
      </c>
      <c r="G41">
        <v>3253.12</v>
      </c>
    </row>
    <row r="42" spans="1:7" x14ac:dyDescent="0.25">
      <c r="A42" t="str">
        <f t="shared" si="0"/>
        <v>4C43236</v>
      </c>
      <c r="B42" t="s">
        <v>162</v>
      </c>
      <c r="C42" s="7">
        <v>43236</v>
      </c>
      <c r="D42" s="22" t="s">
        <v>163</v>
      </c>
      <c r="E42" s="18">
        <v>0.03</v>
      </c>
      <c r="F42" s="19">
        <v>0.01</v>
      </c>
      <c r="G42" s="20">
        <v>6.96</v>
      </c>
    </row>
    <row r="43" spans="1:7" x14ac:dyDescent="0.25">
      <c r="A43" t="str">
        <f t="shared" si="0"/>
        <v>4C43369</v>
      </c>
      <c r="B43" t="s">
        <v>162</v>
      </c>
      <c r="C43" s="7">
        <v>43369</v>
      </c>
      <c r="D43" s="22" t="s">
        <v>164</v>
      </c>
      <c r="E43" s="18">
        <v>0.05</v>
      </c>
      <c r="F43" s="19">
        <v>1.66E-3</v>
      </c>
      <c r="G43" s="20">
        <v>5.18</v>
      </c>
    </row>
    <row r="44" spans="1:7" x14ac:dyDescent="0.25">
      <c r="A44" t="str">
        <f t="shared" si="0"/>
        <v>4C43292</v>
      </c>
      <c r="B44" t="s">
        <v>162</v>
      </c>
      <c r="C44" s="7">
        <v>43292</v>
      </c>
      <c r="D44" s="22" t="s">
        <v>165</v>
      </c>
      <c r="E44" s="18">
        <v>0.08</v>
      </c>
      <c r="F44" s="19">
        <v>2.7299999999999998E-3</v>
      </c>
      <c r="G44" s="20">
        <v>5.47</v>
      </c>
    </row>
    <row r="45" spans="1:7" x14ac:dyDescent="0.25">
      <c r="A45" t="str">
        <f t="shared" si="0"/>
        <v>4C43214</v>
      </c>
      <c r="B45" t="s">
        <v>162</v>
      </c>
      <c r="C45" s="7">
        <v>43214</v>
      </c>
      <c r="D45" s="22" t="s">
        <v>166</v>
      </c>
      <c r="E45" s="18">
        <v>0.03</v>
      </c>
      <c r="F45" s="19">
        <v>8.7299999999999999E-3</v>
      </c>
      <c r="G45" s="20">
        <v>384.37</v>
      </c>
    </row>
    <row r="46" spans="1:7" x14ac:dyDescent="0.25">
      <c r="A46" t="str">
        <f t="shared" si="0"/>
        <v>4C0 Hr</v>
      </c>
      <c r="B46" t="s">
        <v>162</v>
      </c>
      <c r="C46" t="s">
        <v>126</v>
      </c>
      <c r="D46" s="22" t="s">
        <v>167</v>
      </c>
      <c r="E46" s="18">
        <v>0.04</v>
      </c>
      <c r="F46" s="19">
        <v>1.67E-3</v>
      </c>
      <c r="G46" s="20">
        <v>6.07</v>
      </c>
    </row>
    <row r="47" spans="1:7" x14ac:dyDescent="0.25">
      <c r="A47" t="str">
        <f t="shared" si="0"/>
        <v>4C12 Hr</v>
      </c>
      <c r="B47" t="s">
        <v>162</v>
      </c>
      <c r="C47" t="s">
        <v>128</v>
      </c>
      <c r="D47" s="22" t="s">
        <v>168</v>
      </c>
      <c r="E47" s="18">
        <v>0.06</v>
      </c>
      <c r="F47" s="19">
        <v>1.5499999999999999E-3</v>
      </c>
      <c r="G47" s="20">
        <v>5.05</v>
      </c>
    </row>
    <row r="48" spans="1:7" x14ac:dyDescent="0.25">
      <c r="A48" t="str">
        <f t="shared" si="0"/>
        <v>4C24 Hr</v>
      </c>
      <c r="B48" t="s">
        <v>162</v>
      </c>
      <c r="C48" t="s">
        <v>130</v>
      </c>
      <c r="D48" s="22" t="s">
        <v>169</v>
      </c>
      <c r="E48" s="18">
        <v>0.05</v>
      </c>
      <c r="F48" s="19">
        <v>5.5500000000000002E-3</v>
      </c>
      <c r="G48" s="20">
        <v>3.66</v>
      </c>
    </row>
    <row r="49" spans="1:10" x14ac:dyDescent="0.25">
      <c r="A49" t="str">
        <f t="shared" si="0"/>
        <v>4D43236</v>
      </c>
      <c r="B49" t="s">
        <v>170</v>
      </c>
      <c r="C49" s="7">
        <v>43236</v>
      </c>
      <c r="D49" s="22" t="s">
        <v>171</v>
      </c>
      <c r="E49" s="18">
        <v>0.19</v>
      </c>
      <c r="F49" s="19">
        <v>0.02</v>
      </c>
      <c r="G49" s="20">
        <v>8.93</v>
      </c>
    </row>
    <row r="50" spans="1:10" x14ac:dyDescent="0.25">
      <c r="A50" t="str">
        <f t="shared" si="0"/>
        <v>4D43369</v>
      </c>
      <c r="B50" t="s">
        <v>170</v>
      </c>
      <c r="C50" s="7">
        <v>43369</v>
      </c>
      <c r="D50" s="22" t="s">
        <v>172</v>
      </c>
      <c r="E50" s="18">
        <v>0.14000000000000001</v>
      </c>
      <c r="F50" s="19">
        <v>0.02</v>
      </c>
      <c r="G50" s="20">
        <v>14.54</v>
      </c>
    </row>
    <row r="51" spans="1:10" x14ac:dyDescent="0.25">
      <c r="A51" t="str">
        <f t="shared" si="0"/>
        <v>4D43320</v>
      </c>
      <c r="B51" t="s">
        <v>170</v>
      </c>
      <c r="C51" s="7">
        <v>43320</v>
      </c>
      <c r="D51" s="22" t="s">
        <v>173</v>
      </c>
      <c r="E51" s="18">
        <v>0.32</v>
      </c>
      <c r="F51" s="19">
        <v>0.02</v>
      </c>
      <c r="G51" s="20">
        <v>18.96</v>
      </c>
    </row>
    <row r="52" spans="1:10" x14ac:dyDescent="0.25">
      <c r="A52" t="str">
        <f t="shared" si="0"/>
        <v>4D43262</v>
      </c>
      <c r="B52" t="s">
        <v>170</v>
      </c>
      <c r="C52" s="7">
        <v>43262</v>
      </c>
      <c r="D52" s="22" t="s">
        <v>174</v>
      </c>
      <c r="E52" s="18">
        <v>0.03</v>
      </c>
      <c r="F52" s="19">
        <v>5.1000000000000004E-3</v>
      </c>
      <c r="G52" s="20">
        <v>174.39</v>
      </c>
    </row>
    <row r="53" spans="1:10" x14ac:dyDescent="0.25">
      <c r="A53" t="str">
        <f t="shared" si="0"/>
        <v>4D43292</v>
      </c>
      <c r="B53" t="s">
        <v>170</v>
      </c>
      <c r="C53" s="7">
        <v>43292</v>
      </c>
      <c r="D53" s="22" t="s">
        <v>175</v>
      </c>
      <c r="E53" s="18">
        <v>0.1</v>
      </c>
      <c r="F53" s="19">
        <v>1.58E-3</v>
      </c>
      <c r="G53" s="20">
        <v>6.36</v>
      </c>
    </row>
    <row r="54" spans="1:10" x14ac:dyDescent="0.25">
      <c r="A54" t="str">
        <f t="shared" si="0"/>
        <v>4D43214</v>
      </c>
      <c r="B54" t="s">
        <v>170</v>
      </c>
      <c r="C54" s="7">
        <v>43214</v>
      </c>
      <c r="D54" s="22" t="s">
        <v>176</v>
      </c>
      <c r="E54">
        <v>0.8</v>
      </c>
      <c r="F54" s="23">
        <v>0.12</v>
      </c>
      <c r="G54">
        <v>2376.04</v>
      </c>
    </row>
    <row r="55" spans="1:10" x14ac:dyDescent="0.25">
      <c r="A55" t="str">
        <f t="shared" si="0"/>
        <v>56A43236</v>
      </c>
      <c r="B55" t="s">
        <v>177</v>
      </c>
      <c r="C55" s="7">
        <v>43236</v>
      </c>
      <c r="D55" s="22" t="s">
        <v>178</v>
      </c>
      <c r="E55" s="18">
        <v>0.04</v>
      </c>
      <c r="F55" s="19">
        <v>0.12</v>
      </c>
      <c r="G55" s="20">
        <v>11.32</v>
      </c>
    </row>
    <row r="56" spans="1:10" x14ac:dyDescent="0.25">
      <c r="A56" t="str">
        <f t="shared" si="0"/>
        <v>56A43369</v>
      </c>
      <c r="B56" t="s">
        <v>177</v>
      </c>
      <c r="C56" s="7">
        <v>43369</v>
      </c>
      <c r="D56" s="22" t="s">
        <v>179</v>
      </c>
      <c r="E56" s="18">
        <v>0.04</v>
      </c>
      <c r="F56" s="19">
        <v>9.3299999999999998E-3</v>
      </c>
      <c r="G56" s="20">
        <v>5.86</v>
      </c>
    </row>
    <row r="57" spans="1:10" x14ac:dyDescent="0.25">
      <c r="A57" t="str">
        <f t="shared" si="0"/>
        <v>56A43292</v>
      </c>
      <c r="B57" t="s">
        <v>177</v>
      </c>
      <c r="C57" s="7">
        <v>43292</v>
      </c>
      <c r="D57" s="22" t="s">
        <v>180</v>
      </c>
      <c r="E57" s="18">
        <v>0.06</v>
      </c>
      <c r="F57" s="19">
        <v>0.01</v>
      </c>
      <c r="G57" s="20">
        <v>7.51</v>
      </c>
    </row>
    <row r="58" spans="1:10" x14ac:dyDescent="0.25">
      <c r="A58" t="str">
        <f t="shared" si="0"/>
        <v>56A43215</v>
      </c>
      <c r="B58" t="s">
        <v>177</v>
      </c>
      <c r="C58" s="7">
        <v>43215</v>
      </c>
      <c r="D58" s="22" t="s">
        <v>181</v>
      </c>
      <c r="E58" s="18">
        <v>0.23</v>
      </c>
      <c r="F58" s="19">
        <v>0.2</v>
      </c>
      <c r="G58" s="20">
        <v>14.37</v>
      </c>
    </row>
    <row r="59" spans="1:10" x14ac:dyDescent="0.25">
      <c r="A59" t="str">
        <f t="shared" si="0"/>
        <v>56A0 Hr</v>
      </c>
      <c r="B59" t="s">
        <v>177</v>
      </c>
      <c r="C59" t="s">
        <v>126</v>
      </c>
      <c r="D59" s="22" t="s">
        <v>182</v>
      </c>
      <c r="E59" s="18">
        <v>0.06</v>
      </c>
      <c r="F59" s="19">
        <v>0.02</v>
      </c>
      <c r="G59" s="20">
        <v>16.95</v>
      </c>
    </row>
    <row r="60" spans="1:10" x14ac:dyDescent="0.25">
      <c r="A60" t="str">
        <f t="shared" si="0"/>
        <v>56A12 Hr</v>
      </c>
      <c r="B60" t="s">
        <v>177</v>
      </c>
      <c r="C60" t="s">
        <v>128</v>
      </c>
      <c r="D60" s="22" t="s">
        <v>183</v>
      </c>
      <c r="E60" s="18">
        <v>7.0000000000000007E-2</v>
      </c>
      <c r="F60" s="19">
        <v>0.01</v>
      </c>
      <c r="G60" s="20">
        <v>18.489999999999998</v>
      </c>
    </row>
    <row r="61" spans="1:10" x14ac:dyDescent="0.25">
      <c r="A61" t="str">
        <f t="shared" si="0"/>
        <v>56A24 Hr</v>
      </c>
      <c r="B61" t="s">
        <v>177</v>
      </c>
      <c r="C61" t="s">
        <v>130</v>
      </c>
      <c r="D61" s="22" t="s">
        <v>184</v>
      </c>
      <c r="E61" s="18">
        <v>0.06</v>
      </c>
      <c r="F61" s="19">
        <v>0.01</v>
      </c>
      <c r="G61" s="20">
        <v>5.88</v>
      </c>
    </row>
    <row r="62" spans="1:10" x14ac:dyDescent="0.25">
      <c r="A62" t="str">
        <f t="shared" si="0"/>
        <v>56B43369</v>
      </c>
      <c r="B62" t="s">
        <v>185</v>
      </c>
      <c r="C62" s="7">
        <v>43369</v>
      </c>
      <c r="D62" s="22" t="s">
        <v>186</v>
      </c>
      <c r="E62" s="18">
        <v>0.59</v>
      </c>
      <c r="F62" s="19">
        <v>0.23</v>
      </c>
      <c r="G62" s="20">
        <v>75.17</v>
      </c>
    </row>
    <row r="63" spans="1:10" x14ac:dyDescent="0.25">
      <c r="A63" t="str">
        <f t="shared" si="0"/>
        <v>56B43236</v>
      </c>
      <c r="B63" t="s">
        <v>185</v>
      </c>
      <c r="C63" s="7">
        <v>43236</v>
      </c>
      <c r="D63" s="22" t="s">
        <v>187</v>
      </c>
      <c r="E63" s="18">
        <v>0.06</v>
      </c>
      <c r="F63" s="19">
        <v>0.36</v>
      </c>
      <c r="G63" s="20">
        <v>6.06</v>
      </c>
      <c r="J63" s="22"/>
    </row>
    <row r="64" spans="1:10" x14ac:dyDescent="0.25">
      <c r="A64" t="str">
        <f t="shared" si="0"/>
        <v>56B43292</v>
      </c>
      <c r="B64" t="s">
        <v>185</v>
      </c>
      <c r="C64" s="7">
        <v>43292</v>
      </c>
      <c r="D64" s="22" t="s">
        <v>188</v>
      </c>
      <c r="E64" s="18">
        <v>0.08</v>
      </c>
      <c r="F64" s="19">
        <v>0.11</v>
      </c>
      <c r="G64" s="20">
        <v>5.37</v>
      </c>
    </row>
    <row r="65" spans="1:10" x14ac:dyDescent="0.25">
      <c r="A65" t="str">
        <f t="shared" si="0"/>
        <v>56B43215</v>
      </c>
      <c r="B65" t="s">
        <v>185</v>
      </c>
      <c r="C65" s="7">
        <v>43215</v>
      </c>
      <c r="D65" s="22" t="s">
        <v>189</v>
      </c>
      <c r="E65" s="18">
        <v>0.14000000000000001</v>
      </c>
      <c r="F65" s="19">
        <v>0.42</v>
      </c>
      <c r="G65" s="20">
        <v>160.76</v>
      </c>
    </row>
    <row r="66" spans="1:10" x14ac:dyDescent="0.25">
      <c r="A66" t="str">
        <f t="shared" si="0"/>
        <v>61B43235</v>
      </c>
      <c r="B66" t="s">
        <v>190</v>
      </c>
      <c r="C66" s="7">
        <v>43235</v>
      </c>
      <c r="D66" s="22" t="s">
        <v>191</v>
      </c>
      <c r="E66" s="18">
        <v>0.14000000000000001</v>
      </c>
      <c r="F66" s="19">
        <v>7.6899999999999998E-3</v>
      </c>
      <c r="G66" s="20">
        <v>50.29</v>
      </c>
    </row>
    <row r="67" spans="1:10" x14ac:dyDescent="0.25">
      <c r="A67" t="str">
        <f t="shared" ref="A67:A121" si="1">B67&amp;C67</f>
        <v>61B43368</v>
      </c>
      <c r="B67" t="s">
        <v>190</v>
      </c>
      <c r="C67" s="7">
        <v>43368</v>
      </c>
      <c r="D67" s="22" t="s">
        <v>192</v>
      </c>
      <c r="E67" s="18">
        <v>0.79</v>
      </c>
      <c r="F67" s="19">
        <v>2.2100000000000002E-3</v>
      </c>
      <c r="G67" s="20">
        <v>141.66</v>
      </c>
      <c r="J67" s="22"/>
    </row>
    <row r="68" spans="1:10" x14ac:dyDescent="0.25">
      <c r="A68" t="str">
        <f t="shared" si="1"/>
        <v>61B43291</v>
      </c>
      <c r="B68" t="s">
        <v>190</v>
      </c>
      <c r="C68" s="7">
        <v>43291</v>
      </c>
      <c r="D68" s="22" t="s">
        <v>193</v>
      </c>
      <c r="E68" s="18">
        <v>0.54</v>
      </c>
      <c r="F68" s="19">
        <v>0.02</v>
      </c>
      <c r="G68" s="20">
        <v>205.55</v>
      </c>
      <c r="J68" s="22"/>
    </row>
    <row r="69" spans="1:10" x14ac:dyDescent="0.25">
      <c r="A69" t="str">
        <f t="shared" si="1"/>
        <v>61B43223</v>
      </c>
      <c r="B69" t="s">
        <v>190</v>
      </c>
      <c r="C69" s="7">
        <v>43223</v>
      </c>
      <c r="D69" s="22" t="s">
        <v>194</v>
      </c>
      <c r="E69" s="18">
        <v>0.03</v>
      </c>
      <c r="F69" s="19">
        <v>9.1199999999999996E-3</v>
      </c>
      <c r="G69" s="20">
        <v>363.8</v>
      </c>
    </row>
    <row r="70" spans="1:10" x14ac:dyDescent="0.25">
      <c r="A70" t="str">
        <f t="shared" si="1"/>
        <v>61C43368</v>
      </c>
      <c r="B70" t="s">
        <v>195</v>
      </c>
      <c r="C70" s="7">
        <v>43368</v>
      </c>
      <c r="D70" s="22" t="s">
        <v>196</v>
      </c>
      <c r="E70" s="18">
        <v>0.73</v>
      </c>
      <c r="F70" s="19">
        <v>0.06</v>
      </c>
      <c r="G70" s="20">
        <v>35.049999999999997</v>
      </c>
      <c r="J70" s="22"/>
    </row>
    <row r="71" spans="1:10" x14ac:dyDescent="0.25">
      <c r="A71" t="str">
        <f t="shared" si="1"/>
        <v>61C43235</v>
      </c>
      <c r="B71" t="s">
        <v>195</v>
      </c>
      <c r="C71" s="7">
        <v>43235</v>
      </c>
      <c r="D71" s="22" t="s">
        <v>197</v>
      </c>
      <c r="E71" s="18">
        <v>0.03</v>
      </c>
      <c r="F71" s="19">
        <v>4.0400000000000002E-3</v>
      </c>
      <c r="G71" s="20">
        <v>4.49</v>
      </c>
    </row>
    <row r="72" spans="1:10" x14ac:dyDescent="0.25">
      <c r="A72" t="str">
        <f t="shared" si="1"/>
        <v>61C43223</v>
      </c>
      <c r="B72" t="s">
        <v>195</v>
      </c>
      <c r="C72" s="7">
        <v>43223</v>
      </c>
      <c r="D72" s="22" t="s">
        <v>198</v>
      </c>
      <c r="E72" s="18">
        <v>0.1</v>
      </c>
      <c r="F72" s="19">
        <v>0.12</v>
      </c>
      <c r="G72" s="20">
        <v>17.239999999999998</v>
      </c>
      <c r="J72" s="22"/>
    </row>
    <row r="73" spans="1:10" x14ac:dyDescent="0.25">
      <c r="A73" t="str">
        <f t="shared" si="1"/>
        <v>61C43291</v>
      </c>
      <c r="B73" t="s">
        <v>195</v>
      </c>
      <c r="C73" s="7">
        <v>43291</v>
      </c>
      <c r="D73" s="22" t="s">
        <v>199</v>
      </c>
      <c r="E73" s="18">
        <v>0.15</v>
      </c>
      <c r="F73" s="19">
        <v>4.6600000000000001E-3</v>
      </c>
      <c r="G73" s="20">
        <v>7.65</v>
      </c>
    </row>
    <row r="74" spans="1:10" ht="15" customHeight="1" x14ac:dyDescent="0.25">
      <c r="A74" t="str">
        <f t="shared" si="1"/>
        <v>62B43368</v>
      </c>
      <c r="B74" t="s">
        <v>200</v>
      </c>
      <c r="C74" s="7">
        <v>43368</v>
      </c>
      <c r="D74" s="22" t="s">
        <v>201</v>
      </c>
      <c r="E74" s="18">
        <v>0.08</v>
      </c>
      <c r="F74" s="19">
        <v>0.01</v>
      </c>
      <c r="G74" s="20">
        <v>15.23</v>
      </c>
    </row>
    <row r="75" spans="1:10" x14ac:dyDescent="0.25">
      <c r="A75" t="str">
        <f t="shared" si="1"/>
        <v>62B43235</v>
      </c>
      <c r="B75" t="s">
        <v>200</v>
      </c>
      <c r="C75" s="7">
        <v>43235</v>
      </c>
      <c r="D75" s="22" t="s">
        <v>202</v>
      </c>
      <c r="E75" s="18">
        <v>0.09</v>
      </c>
      <c r="F75" s="19">
        <v>0.09</v>
      </c>
      <c r="G75" s="20">
        <v>5.6</v>
      </c>
    </row>
    <row r="76" spans="1:10" x14ac:dyDescent="0.25">
      <c r="A76" t="str">
        <f t="shared" si="1"/>
        <v>62B43223</v>
      </c>
      <c r="B76" t="s">
        <v>200</v>
      </c>
      <c r="C76" s="7">
        <v>43223</v>
      </c>
      <c r="D76" s="22" t="s">
        <v>203</v>
      </c>
      <c r="E76" s="18">
        <v>0.08</v>
      </c>
      <c r="F76" s="19">
        <v>0.06</v>
      </c>
      <c r="G76" s="20">
        <v>8.76</v>
      </c>
    </row>
    <row r="77" spans="1:10" x14ac:dyDescent="0.25">
      <c r="A77" t="str">
        <f t="shared" si="1"/>
        <v>62B43291</v>
      </c>
      <c r="B77" t="s">
        <v>200</v>
      </c>
      <c r="C77" s="7">
        <v>43291</v>
      </c>
      <c r="D77" s="22" t="s">
        <v>204</v>
      </c>
      <c r="E77" s="18">
        <v>0.52</v>
      </c>
      <c r="F77" s="19">
        <v>0.11</v>
      </c>
      <c r="G77" s="20">
        <v>227.59</v>
      </c>
    </row>
    <row r="78" spans="1:10" x14ac:dyDescent="0.25">
      <c r="A78" t="str">
        <f t="shared" si="1"/>
        <v>62C43368</v>
      </c>
      <c r="B78" t="s">
        <v>205</v>
      </c>
      <c r="C78" s="7">
        <v>43368</v>
      </c>
      <c r="D78" s="22" t="s">
        <v>206</v>
      </c>
      <c r="E78" s="18">
        <v>0.19</v>
      </c>
      <c r="F78" s="19">
        <v>0.09</v>
      </c>
      <c r="G78" s="20">
        <v>11.38</v>
      </c>
    </row>
    <row r="79" spans="1:10" x14ac:dyDescent="0.25">
      <c r="A79" t="str">
        <f t="shared" si="1"/>
        <v>62C43235</v>
      </c>
      <c r="B79" t="s">
        <v>205</v>
      </c>
      <c r="C79" s="7">
        <v>43235</v>
      </c>
      <c r="D79" s="22" t="s">
        <v>207</v>
      </c>
      <c r="E79" s="18">
        <v>7.0000000000000007E-2</v>
      </c>
      <c r="F79" s="19">
        <v>0.52</v>
      </c>
      <c r="G79" s="20">
        <v>9.08</v>
      </c>
    </row>
    <row r="80" spans="1:10" x14ac:dyDescent="0.25">
      <c r="A80" t="str">
        <f t="shared" si="1"/>
        <v>62C43223</v>
      </c>
      <c r="B80" t="s">
        <v>205</v>
      </c>
      <c r="C80" s="7">
        <v>43223</v>
      </c>
      <c r="D80" s="22" t="s">
        <v>208</v>
      </c>
      <c r="E80" s="18">
        <v>0.05</v>
      </c>
      <c r="F80" s="19">
        <v>0.52</v>
      </c>
      <c r="G80" s="20">
        <v>9.36</v>
      </c>
    </row>
    <row r="81" spans="1:10" x14ac:dyDescent="0.25">
      <c r="A81" t="str">
        <f t="shared" si="1"/>
        <v>62C43291</v>
      </c>
      <c r="B81" t="s">
        <v>205</v>
      </c>
      <c r="C81" s="7">
        <v>43291</v>
      </c>
      <c r="D81" s="22" t="s">
        <v>209</v>
      </c>
      <c r="E81" s="18">
        <v>0.03</v>
      </c>
      <c r="F81" s="19">
        <v>0.28000000000000003</v>
      </c>
      <c r="G81" s="20">
        <v>399.32</v>
      </c>
    </row>
    <row r="82" spans="1:10" x14ac:dyDescent="0.25">
      <c r="A82" t="str">
        <f t="shared" si="1"/>
        <v>62E43223</v>
      </c>
      <c r="B82" t="s">
        <v>210</v>
      </c>
      <c r="C82" s="7">
        <v>43223</v>
      </c>
      <c r="D82" s="22" t="s">
        <v>211</v>
      </c>
      <c r="E82" s="18">
        <v>0.14000000000000001</v>
      </c>
      <c r="F82" s="19">
        <v>0.53</v>
      </c>
      <c r="G82" s="20">
        <v>4</v>
      </c>
    </row>
    <row r="83" spans="1:10" x14ac:dyDescent="0.25">
      <c r="A83" t="str">
        <f t="shared" si="1"/>
        <v>62E43368</v>
      </c>
      <c r="B83" t="s">
        <v>210</v>
      </c>
      <c r="C83" s="7">
        <v>43368</v>
      </c>
      <c r="D83" s="22" t="s">
        <v>212</v>
      </c>
      <c r="E83" s="18">
        <v>3.56</v>
      </c>
      <c r="F83" s="19">
        <v>1.1599999999999999</v>
      </c>
      <c r="G83" s="20">
        <v>184.14</v>
      </c>
    </row>
    <row r="84" spans="1:10" x14ac:dyDescent="0.25">
      <c r="A84" t="str">
        <f t="shared" si="1"/>
        <v>62E43235</v>
      </c>
      <c r="B84" t="s">
        <v>210</v>
      </c>
      <c r="C84" s="7">
        <v>43235</v>
      </c>
      <c r="D84" s="22" t="s">
        <v>213</v>
      </c>
      <c r="E84" s="18">
        <v>0.2</v>
      </c>
      <c r="F84" s="19">
        <v>0.62</v>
      </c>
      <c r="G84" s="20">
        <v>30.97</v>
      </c>
    </row>
    <row r="85" spans="1:10" x14ac:dyDescent="0.25">
      <c r="A85" t="str">
        <f t="shared" si="1"/>
        <v>62E43297</v>
      </c>
      <c r="B85" t="s">
        <v>210</v>
      </c>
      <c r="C85" s="7">
        <v>43297</v>
      </c>
      <c r="D85" s="22" t="s">
        <v>214</v>
      </c>
      <c r="E85" s="18">
        <v>0.16</v>
      </c>
      <c r="F85" s="19">
        <v>1.0900000000000001</v>
      </c>
      <c r="G85" s="20">
        <v>1010</v>
      </c>
    </row>
    <row r="86" spans="1:10" ht="15" customHeight="1" x14ac:dyDescent="0.25">
      <c r="A86" t="str">
        <f t="shared" si="1"/>
        <v>66A43367</v>
      </c>
      <c r="B86" t="s">
        <v>215</v>
      </c>
      <c r="C86" s="7">
        <v>43367</v>
      </c>
      <c r="D86" s="22" t="s">
        <v>216</v>
      </c>
      <c r="E86" s="18">
        <v>0.73</v>
      </c>
      <c r="F86" s="19">
        <v>0.05</v>
      </c>
      <c r="G86" s="20">
        <v>17.350000000000001</v>
      </c>
    </row>
    <row r="87" spans="1:10" x14ac:dyDescent="0.25">
      <c r="A87" t="str">
        <f t="shared" si="1"/>
        <v>66A43234</v>
      </c>
      <c r="B87" t="s">
        <v>215</v>
      </c>
      <c r="C87" s="7">
        <v>43234</v>
      </c>
      <c r="D87" s="22" t="s">
        <v>217</v>
      </c>
      <c r="E87" s="18">
        <v>0.06</v>
      </c>
      <c r="F87" s="19">
        <v>7.0000000000000007E-2</v>
      </c>
      <c r="G87" s="20">
        <v>10.76</v>
      </c>
    </row>
    <row r="88" spans="1:10" x14ac:dyDescent="0.25">
      <c r="A88" t="str">
        <f t="shared" si="1"/>
        <v>66A43321</v>
      </c>
      <c r="B88" t="s">
        <v>215</v>
      </c>
      <c r="C88" s="7">
        <v>43321</v>
      </c>
      <c r="D88" s="22" t="s">
        <v>218</v>
      </c>
      <c r="E88" s="18">
        <v>0.11</v>
      </c>
      <c r="F88" s="19">
        <v>0.01</v>
      </c>
      <c r="G88" s="20">
        <v>11.14</v>
      </c>
      <c r="J88" s="22"/>
    </row>
    <row r="89" spans="1:10" x14ac:dyDescent="0.25">
      <c r="A89" t="str">
        <f t="shared" si="1"/>
        <v>66A43217</v>
      </c>
      <c r="B89" t="s">
        <v>215</v>
      </c>
      <c r="C89" s="7">
        <v>43217</v>
      </c>
      <c r="D89" s="22" t="s">
        <v>219</v>
      </c>
      <c r="E89" s="18">
        <v>0.14000000000000001</v>
      </c>
      <c r="F89" s="19">
        <v>0.32</v>
      </c>
      <c r="G89" s="20">
        <v>161.12</v>
      </c>
    </row>
    <row r="90" spans="1:10" x14ac:dyDescent="0.25">
      <c r="A90" t="str">
        <f t="shared" si="1"/>
        <v>66A43263</v>
      </c>
      <c r="B90" t="s">
        <v>215</v>
      </c>
      <c r="C90" s="7">
        <v>43263</v>
      </c>
      <c r="D90" s="22" t="s">
        <v>220</v>
      </c>
      <c r="E90" s="18">
        <v>0.14000000000000001</v>
      </c>
      <c r="F90" s="19">
        <v>0.12</v>
      </c>
      <c r="G90" s="20">
        <v>9.23</v>
      </c>
    </row>
    <row r="91" spans="1:10" x14ac:dyDescent="0.25">
      <c r="A91" t="str">
        <f t="shared" si="1"/>
        <v>66A43290</v>
      </c>
      <c r="B91" t="s">
        <v>215</v>
      </c>
      <c r="C91" s="7">
        <v>43290</v>
      </c>
      <c r="D91" s="22" t="s">
        <v>221</v>
      </c>
      <c r="E91" s="18">
        <v>0.05</v>
      </c>
      <c r="F91" s="19">
        <v>0.01</v>
      </c>
      <c r="G91" s="20">
        <v>67.97</v>
      </c>
    </row>
    <row r="92" spans="1:10" x14ac:dyDescent="0.25">
      <c r="A92" t="str">
        <f t="shared" si="1"/>
        <v>66B43217</v>
      </c>
      <c r="B92" t="s">
        <v>222</v>
      </c>
      <c r="C92" s="7">
        <v>43217</v>
      </c>
      <c r="D92" s="22" t="s">
        <v>223</v>
      </c>
      <c r="E92" s="18">
        <v>0.12</v>
      </c>
      <c r="F92" s="19">
        <v>0.02</v>
      </c>
      <c r="G92" s="20">
        <v>12.85</v>
      </c>
    </row>
    <row r="93" spans="1:10" x14ac:dyDescent="0.25">
      <c r="A93" t="str">
        <f t="shared" si="1"/>
        <v>66B43367</v>
      </c>
      <c r="B93" t="s">
        <v>222</v>
      </c>
      <c r="C93" s="7">
        <v>43367</v>
      </c>
      <c r="D93" s="22" t="s">
        <v>224</v>
      </c>
      <c r="E93" s="18">
        <v>0.08</v>
      </c>
      <c r="F93" s="19">
        <v>3.5599999999999998E-3</v>
      </c>
      <c r="G93" s="20">
        <v>31.89</v>
      </c>
    </row>
    <row r="94" spans="1:10" x14ac:dyDescent="0.25">
      <c r="A94" t="str">
        <f t="shared" si="1"/>
        <v>66B43234</v>
      </c>
      <c r="B94" t="s">
        <v>222</v>
      </c>
      <c r="C94" s="7">
        <v>43234</v>
      </c>
      <c r="D94" s="22" t="s">
        <v>225</v>
      </c>
      <c r="E94" s="18">
        <v>7.0000000000000007E-2</v>
      </c>
      <c r="F94" s="19">
        <v>7.5100000000000002E-3</v>
      </c>
      <c r="G94" s="20">
        <v>7</v>
      </c>
    </row>
    <row r="95" spans="1:10" x14ac:dyDescent="0.25">
      <c r="A95" t="str">
        <f t="shared" si="1"/>
        <v>66B43290</v>
      </c>
      <c r="B95" t="s">
        <v>222</v>
      </c>
      <c r="C95" s="7">
        <v>43290</v>
      </c>
      <c r="D95" s="22" t="s">
        <v>226</v>
      </c>
      <c r="E95" s="18">
        <v>0.08</v>
      </c>
      <c r="F95" s="19">
        <v>0.01</v>
      </c>
      <c r="G95" s="20">
        <v>7.12</v>
      </c>
    </row>
    <row r="96" spans="1:10" x14ac:dyDescent="0.25">
      <c r="A96" t="str">
        <f t="shared" si="1"/>
        <v>66C43217</v>
      </c>
      <c r="B96" t="s">
        <v>227</v>
      </c>
      <c r="C96" s="7">
        <v>43217</v>
      </c>
      <c r="D96" s="22" t="s">
        <v>228</v>
      </c>
      <c r="E96" s="18">
        <v>0.17</v>
      </c>
      <c r="F96" s="19">
        <v>0.26</v>
      </c>
      <c r="G96" s="20">
        <v>66.87</v>
      </c>
    </row>
    <row r="97" spans="1:7" x14ac:dyDescent="0.25">
      <c r="A97" t="str">
        <f t="shared" si="1"/>
        <v>66C43321</v>
      </c>
      <c r="B97" t="s">
        <v>227</v>
      </c>
      <c r="C97" s="7">
        <v>43321</v>
      </c>
      <c r="D97" s="22" t="s">
        <v>229</v>
      </c>
      <c r="E97" s="18">
        <v>0.06</v>
      </c>
      <c r="F97" s="19">
        <v>3.3500000000000001E-3</v>
      </c>
      <c r="G97" s="20">
        <v>5.21</v>
      </c>
    </row>
    <row r="98" spans="1:7" x14ac:dyDescent="0.25">
      <c r="A98" t="str">
        <f t="shared" si="1"/>
        <v>66C43367</v>
      </c>
      <c r="B98" t="s">
        <v>227</v>
      </c>
      <c r="C98" s="7">
        <v>43367</v>
      </c>
      <c r="D98" s="22" t="s">
        <v>230</v>
      </c>
      <c r="E98" s="18">
        <v>7.0000000000000007E-2</v>
      </c>
      <c r="F98" s="19">
        <v>9.7800000000000005E-3</v>
      </c>
      <c r="G98" s="20">
        <v>4.7699999999999996</v>
      </c>
    </row>
    <row r="99" spans="1:7" x14ac:dyDescent="0.25">
      <c r="A99" t="str">
        <f t="shared" si="1"/>
        <v>66C43263</v>
      </c>
      <c r="B99" t="s">
        <v>227</v>
      </c>
      <c r="C99" s="7">
        <v>43263</v>
      </c>
      <c r="D99" s="22" t="s">
        <v>231</v>
      </c>
      <c r="E99" s="18">
        <v>7.0000000000000007E-2</v>
      </c>
      <c r="F99" s="19">
        <v>0.04</v>
      </c>
      <c r="G99" s="20">
        <v>6.89</v>
      </c>
    </row>
    <row r="100" spans="1:7" x14ac:dyDescent="0.25">
      <c r="A100" t="str">
        <f t="shared" si="1"/>
        <v>66C43234</v>
      </c>
      <c r="B100" t="s">
        <v>227</v>
      </c>
      <c r="C100" s="7">
        <v>43234</v>
      </c>
      <c r="D100" s="22" t="s">
        <v>232</v>
      </c>
      <c r="E100" s="18">
        <v>0.04</v>
      </c>
      <c r="F100" s="19">
        <v>0.15</v>
      </c>
      <c r="G100" s="20">
        <v>33.53</v>
      </c>
    </row>
    <row r="101" spans="1:7" x14ac:dyDescent="0.25">
      <c r="A101" t="str">
        <f t="shared" si="1"/>
        <v>66C43290</v>
      </c>
      <c r="B101" t="s">
        <v>227</v>
      </c>
      <c r="C101" s="7">
        <v>43290</v>
      </c>
      <c r="D101" s="22" t="s">
        <v>233</v>
      </c>
      <c r="E101" s="18">
        <v>0.08</v>
      </c>
      <c r="F101" s="19">
        <v>9.2800000000000001E-3</v>
      </c>
      <c r="G101" s="20">
        <v>6.62</v>
      </c>
    </row>
    <row r="102" spans="1:7" x14ac:dyDescent="0.25">
      <c r="A102" t="str">
        <f t="shared" si="1"/>
        <v>P143325</v>
      </c>
      <c r="B102" t="s">
        <v>234</v>
      </c>
      <c r="C102" s="7">
        <v>43325</v>
      </c>
      <c r="D102" s="22" t="s">
        <v>234</v>
      </c>
      <c r="E102" s="18">
        <v>0.05</v>
      </c>
      <c r="F102" s="19">
        <v>0.04</v>
      </c>
      <c r="G102" s="20">
        <v>4.7300000000000004</v>
      </c>
    </row>
    <row r="103" spans="1:7" x14ac:dyDescent="0.25">
      <c r="A103" t="str">
        <f t="shared" si="1"/>
        <v>P10343326</v>
      </c>
      <c r="B103" t="s">
        <v>235</v>
      </c>
      <c r="C103" s="7">
        <v>43326</v>
      </c>
      <c r="D103" s="22" t="s">
        <v>235</v>
      </c>
      <c r="E103" s="18">
        <v>0.52</v>
      </c>
      <c r="F103" s="19">
        <v>2.2000000000000002</v>
      </c>
      <c r="G103" s="20">
        <v>7.44</v>
      </c>
    </row>
    <row r="104" spans="1:7" x14ac:dyDescent="0.25">
      <c r="A104" t="str">
        <f t="shared" si="1"/>
        <v>P10943326</v>
      </c>
      <c r="B104" t="s">
        <v>236</v>
      </c>
      <c r="C104" s="7">
        <v>43326</v>
      </c>
      <c r="D104" s="22" t="s">
        <v>236</v>
      </c>
      <c r="E104" s="18">
        <v>0.98</v>
      </c>
      <c r="F104" s="19">
        <v>1.0900000000000001</v>
      </c>
      <c r="G104" s="20">
        <v>19.62</v>
      </c>
    </row>
    <row r="105" spans="1:7" x14ac:dyDescent="0.25">
      <c r="A105" t="str">
        <f t="shared" si="1"/>
        <v>P11843326</v>
      </c>
      <c r="B105" t="s">
        <v>237</v>
      </c>
      <c r="C105" s="7">
        <v>43326</v>
      </c>
      <c r="D105" s="22" t="s">
        <v>237</v>
      </c>
      <c r="E105" s="18">
        <v>0.34</v>
      </c>
      <c r="F105" s="19">
        <v>4.51</v>
      </c>
      <c r="G105" s="20">
        <v>7.7</v>
      </c>
    </row>
    <row r="106" spans="1:7" x14ac:dyDescent="0.25">
      <c r="A106" t="str">
        <f t="shared" si="1"/>
        <v>P12043326</v>
      </c>
      <c r="B106" t="s">
        <v>238</v>
      </c>
      <c r="C106" s="7">
        <v>43326</v>
      </c>
      <c r="D106" s="22" t="s">
        <v>238</v>
      </c>
      <c r="E106" s="18">
        <v>0.1</v>
      </c>
      <c r="F106" s="19">
        <v>1.1200000000000001</v>
      </c>
      <c r="G106" s="20">
        <v>4.3099999999999996</v>
      </c>
    </row>
    <row r="107" spans="1:7" x14ac:dyDescent="0.25">
      <c r="A107" t="str">
        <f t="shared" si="1"/>
        <v>P12443326</v>
      </c>
      <c r="B107" t="s">
        <v>239</v>
      </c>
      <c r="C107" s="7">
        <v>43326</v>
      </c>
      <c r="D107" s="22" t="s">
        <v>239</v>
      </c>
      <c r="E107" s="18">
        <v>0.12</v>
      </c>
      <c r="F107" s="19">
        <v>0.05</v>
      </c>
      <c r="G107" s="20">
        <v>5.69</v>
      </c>
    </row>
    <row r="108" spans="1:7" x14ac:dyDescent="0.25">
      <c r="A108" t="str">
        <f t="shared" si="1"/>
        <v>P12543325</v>
      </c>
      <c r="B108" t="s">
        <v>240</v>
      </c>
      <c r="C108" s="7">
        <v>43325</v>
      </c>
      <c r="D108" s="22" t="s">
        <v>240</v>
      </c>
      <c r="E108" s="18">
        <v>0.16</v>
      </c>
      <c r="F108" s="19">
        <v>0.02</v>
      </c>
      <c r="G108" s="20">
        <v>5.13</v>
      </c>
    </row>
    <row r="109" spans="1:7" x14ac:dyDescent="0.25">
      <c r="A109" t="str">
        <f t="shared" si="1"/>
        <v>P2043329</v>
      </c>
      <c r="B109" t="s">
        <v>241</v>
      </c>
      <c r="C109" s="7">
        <v>43329</v>
      </c>
      <c r="D109" s="22" t="s">
        <v>241</v>
      </c>
      <c r="E109" s="18">
        <v>0.09</v>
      </c>
      <c r="F109" s="19">
        <v>0.06</v>
      </c>
      <c r="G109" s="20">
        <v>3.66</v>
      </c>
    </row>
    <row r="110" spans="1:7" x14ac:dyDescent="0.25">
      <c r="A110" t="str">
        <f t="shared" si="1"/>
        <v>P2643329</v>
      </c>
      <c r="B110" t="s">
        <v>242</v>
      </c>
      <c r="C110" s="7">
        <v>43329</v>
      </c>
      <c r="D110" s="22" t="s">
        <v>242</v>
      </c>
      <c r="E110" s="18">
        <v>1.29</v>
      </c>
      <c r="F110" s="19">
        <v>0.02</v>
      </c>
      <c r="G110" s="20">
        <v>8.7899999999999991</v>
      </c>
    </row>
    <row r="111" spans="1:7" x14ac:dyDescent="0.25">
      <c r="A111" t="str">
        <f t="shared" si="1"/>
        <v>P3543328</v>
      </c>
      <c r="B111" t="s">
        <v>243</v>
      </c>
      <c r="C111" s="7">
        <v>43328</v>
      </c>
      <c r="D111" s="22" t="s">
        <v>243</v>
      </c>
      <c r="E111" s="18">
        <v>0.53</v>
      </c>
      <c r="F111" s="19">
        <v>0.64</v>
      </c>
      <c r="G111" s="20">
        <v>43.73</v>
      </c>
    </row>
    <row r="112" spans="1:7" x14ac:dyDescent="0.25">
      <c r="A112" t="str">
        <f t="shared" si="1"/>
        <v>P3743328</v>
      </c>
      <c r="B112" t="s">
        <v>244</v>
      </c>
      <c r="C112" s="7">
        <v>43328</v>
      </c>
      <c r="D112" s="22" t="s">
        <v>244</v>
      </c>
      <c r="E112" s="18">
        <v>0.04</v>
      </c>
      <c r="F112" s="19">
        <v>0.09</v>
      </c>
      <c r="G112" s="20">
        <v>0.19</v>
      </c>
    </row>
    <row r="113" spans="1:7" x14ac:dyDescent="0.25">
      <c r="A113" t="str">
        <f t="shared" si="1"/>
        <v>P5043325</v>
      </c>
      <c r="B113" t="s">
        <v>245</v>
      </c>
      <c r="C113" s="7">
        <v>43325</v>
      </c>
      <c r="D113" s="22" t="s">
        <v>245</v>
      </c>
      <c r="E113" s="18">
        <v>0.05</v>
      </c>
      <c r="F113" s="19">
        <v>0.01</v>
      </c>
      <c r="G113" s="20">
        <v>2.41</v>
      </c>
    </row>
    <row r="114" spans="1:7" x14ac:dyDescent="0.25">
      <c r="A114" t="str">
        <f t="shared" si="1"/>
        <v>P6643327</v>
      </c>
      <c r="B114" t="s">
        <v>246</v>
      </c>
      <c r="C114" s="7">
        <v>43327</v>
      </c>
      <c r="D114" s="22" t="s">
        <v>246</v>
      </c>
      <c r="E114" s="18">
        <v>0.05</v>
      </c>
      <c r="F114" s="19">
        <v>7.0000000000000007E-2</v>
      </c>
      <c r="G114" s="20">
        <v>2.09</v>
      </c>
    </row>
    <row r="115" spans="1:7" x14ac:dyDescent="0.25">
      <c r="A115" t="str">
        <f t="shared" si="1"/>
        <v>P6743329</v>
      </c>
      <c r="B115" t="s">
        <v>247</v>
      </c>
      <c r="C115" s="7">
        <v>43329</v>
      </c>
      <c r="D115" s="22" t="s">
        <v>247</v>
      </c>
      <c r="E115" s="18">
        <v>0.05</v>
      </c>
      <c r="F115" s="19">
        <v>0.02</v>
      </c>
      <c r="G115" s="20">
        <v>7.36</v>
      </c>
    </row>
    <row r="116" spans="1:7" x14ac:dyDescent="0.25">
      <c r="A116" t="str">
        <f t="shared" si="1"/>
        <v>P7043327</v>
      </c>
      <c r="B116" t="s">
        <v>248</v>
      </c>
      <c r="C116" s="7">
        <v>43327</v>
      </c>
      <c r="D116" s="24" t="s">
        <v>248</v>
      </c>
      <c r="E116" s="18">
        <v>0.08</v>
      </c>
      <c r="F116" s="19">
        <v>0.12</v>
      </c>
      <c r="G116" s="20">
        <v>6.09</v>
      </c>
    </row>
    <row r="117" spans="1:7" x14ac:dyDescent="0.25">
      <c r="A117" t="str">
        <f t="shared" si="1"/>
        <v>P7543327</v>
      </c>
      <c r="B117" t="s">
        <v>249</v>
      </c>
      <c r="C117" s="7">
        <v>43327</v>
      </c>
      <c r="D117" s="22" t="s">
        <v>249</v>
      </c>
      <c r="E117" s="18">
        <v>0.11</v>
      </c>
      <c r="F117" s="19">
        <v>0.36</v>
      </c>
      <c r="G117" s="20">
        <v>4.05</v>
      </c>
    </row>
    <row r="118" spans="1:7" x14ac:dyDescent="0.25">
      <c r="A118" t="str">
        <f t="shared" si="1"/>
        <v>P8843327</v>
      </c>
      <c r="B118" t="s">
        <v>250</v>
      </c>
      <c r="C118" s="7">
        <v>43327</v>
      </c>
      <c r="D118" s="22" t="s">
        <v>250</v>
      </c>
      <c r="E118" s="18">
        <v>0.13</v>
      </c>
      <c r="F118" s="19">
        <v>1.08</v>
      </c>
      <c r="G118" s="20">
        <v>5.72</v>
      </c>
    </row>
    <row r="119" spans="1:7" x14ac:dyDescent="0.25">
      <c r="A119" t="str">
        <f t="shared" si="1"/>
        <v>P9043329</v>
      </c>
      <c r="B119" t="s">
        <v>251</v>
      </c>
      <c r="C119" s="7">
        <v>43329</v>
      </c>
      <c r="D119" s="22" t="s">
        <v>251</v>
      </c>
      <c r="E119" s="18">
        <v>0.08</v>
      </c>
      <c r="F119" s="19">
        <v>0.05</v>
      </c>
      <c r="G119" s="20">
        <v>2.99</v>
      </c>
    </row>
    <row r="120" spans="1:7" x14ac:dyDescent="0.25">
      <c r="A120" t="str">
        <f t="shared" si="1"/>
        <v>P9743328</v>
      </c>
      <c r="B120" t="s">
        <v>252</v>
      </c>
      <c r="C120" s="7">
        <v>43328</v>
      </c>
      <c r="D120" s="22" t="s">
        <v>252</v>
      </c>
      <c r="E120" s="18">
        <v>0.52</v>
      </c>
      <c r="F120" s="19">
        <v>0.38</v>
      </c>
      <c r="G120" s="20">
        <v>51.18</v>
      </c>
    </row>
    <row r="121" spans="1:7" x14ac:dyDescent="0.25">
      <c r="A121" t="str">
        <f t="shared" si="1"/>
        <v>P9843328</v>
      </c>
      <c r="B121" t="s">
        <v>253</v>
      </c>
      <c r="C121" s="7">
        <v>43328</v>
      </c>
      <c r="D121" s="22" t="s">
        <v>253</v>
      </c>
      <c r="E121" s="18">
        <v>0.25</v>
      </c>
      <c r="F121" s="19">
        <v>0.38</v>
      </c>
      <c r="G121" s="20">
        <v>33.880000000000003</v>
      </c>
    </row>
  </sheetData>
  <autoFilter ref="A1:J121" xr:uid="{64F72493-512B-4CAF-90C6-32C22CA4C93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C63C1-E3A9-4F9A-ADEF-CE42643DE5C2}">
  <sheetPr filterMode="1"/>
  <dimension ref="A1:F121"/>
  <sheetViews>
    <sheetView workbookViewId="0">
      <selection activeCell="C122" sqref="C122"/>
    </sheetView>
  </sheetViews>
  <sheetFormatPr defaultColWidth="9.140625" defaultRowHeight="15" x14ac:dyDescent="0.25"/>
  <cols>
    <col min="3" max="3" width="10.140625" bestFit="1" customWidth="1"/>
    <col min="4" max="4" width="14.7109375" style="9" customWidth="1"/>
    <col min="5" max="5" width="13.7109375" style="16" customWidth="1"/>
    <col min="6" max="6" width="13.7109375" customWidth="1"/>
  </cols>
  <sheetData>
    <row r="1" spans="1:6" ht="15.75" thickBot="1" x14ac:dyDescent="0.3">
      <c r="A1" t="s">
        <v>2</v>
      </c>
      <c r="B1" t="s">
        <v>0</v>
      </c>
      <c r="C1" t="s">
        <v>3</v>
      </c>
      <c r="D1" s="28" t="s">
        <v>109</v>
      </c>
      <c r="E1" s="29" t="s">
        <v>254</v>
      </c>
      <c r="F1" s="28" t="s">
        <v>255</v>
      </c>
    </row>
    <row r="2" spans="1:6" ht="15.75" hidden="1" thickTop="1" x14ac:dyDescent="0.25">
      <c r="A2" t="str">
        <f>B2&amp;C2</f>
        <v>2343321</v>
      </c>
      <c r="B2">
        <v>23</v>
      </c>
      <c r="C2" s="7">
        <v>43321</v>
      </c>
      <c r="D2" s="30" t="s">
        <v>113</v>
      </c>
      <c r="E2" s="31">
        <v>1590</v>
      </c>
      <c r="F2" s="32">
        <v>0.04</v>
      </c>
    </row>
    <row r="3" spans="1:6" ht="15.75" hidden="1" thickTop="1" x14ac:dyDescent="0.25">
      <c r="A3" t="str">
        <f t="shared" ref="A3:A66" si="0">B3&amp;C3</f>
        <v>2343237</v>
      </c>
      <c r="B3">
        <v>23</v>
      </c>
      <c r="C3" s="7">
        <v>43237</v>
      </c>
      <c r="D3" s="30" t="s">
        <v>114</v>
      </c>
      <c r="E3" s="31">
        <v>930.53</v>
      </c>
      <c r="F3" s="32">
        <v>0.04</v>
      </c>
    </row>
    <row r="4" spans="1:6" ht="15.75" hidden="1" thickTop="1" x14ac:dyDescent="0.25">
      <c r="A4" t="str">
        <f t="shared" si="0"/>
        <v>2343370</v>
      </c>
      <c r="B4">
        <v>23</v>
      </c>
      <c r="C4" s="7">
        <v>43370</v>
      </c>
      <c r="D4" s="30" t="s">
        <v>256</v>
      </c>
      <c r="E4" s="31">
        <v>1660</v>
      </c>
      <c r="F4" s="32">
        <v>0.05</v>
      </c>
    </row>
    <row r="5" spans="1:6" ht="15.75" hidden="1" thickTop="1" x14ac:dyDescent="0.25">
      <c r="A5" t="str">
        <f t="shared" si="0"/>
        <v>2343262</v>
      </c>
      <c r="B5">
        <v>23</v>
      </c>
      <c r="C5" s="7">
        <v>43262</v>
      </c>
      <c r="D5" s="30" t="s">
        <v>116</v>
      </c>
      <c r="E5" s="31">
        <v>942.01</v>
      </c>
      <c r="F5" s="32">
        <v>0.04</v>
      </c>
    </row>
    <row r="6" spans="1:6" ht="15.75" hidden="1" thickTop="1" x14ac:dyDescent="0.25">
      <c r="A6" t="str">
        <f t="shared" si="0"/>
        <v>2343293</v>
      </c>
      <c r="B6">
        <v>23</v>
      </c>
      <c r="C6" s="7">
        <v>43293</v>
      </c>
      <c r="D6" s="30" t="s">
        <v>257</v>
      </c>
      <c r="E6" s="31">
        <v>1410</v>
      </c>
      <c r="F6" s="32">
        <v>0.04</v>
      </c>
    </row>
    <row r="7" spans="1:6" ht="15.75" hidden="1" thickTop="1" x14ac:dyDescent="0.25">
      <c r="A7" t="str">
        <f t="shared" si="0"/>
        <v>6843216</v>
      </c>
      <c r="B7">
        <v>68</v>
      </c>
      <c r="C7" s="7">
        <v>43216</v>
      </c>
      <c r="D7" s="10" t="s">
        <v>118</v>
      </c>
      <c r="E7" s="31">
        <v>9950</v>
      </c>
      <c r="F7" s="32">
        <v>0.05</v>
      </c>
    </row>
    <row r="8" spans="1:6" ht="15.75" hidden="1" thickTop="1" x14ac:dyDescent="0.25">
      <c r="A8" t="str">
        <f t="shared" si="0"/>
        <v>6843238</v>
      </c>
      <c r="B8">
        <v>68</v>
      </c>
      <c r="C8" s="7">
        <v>43238</v>
      </c>
      <c r="D8" s="10" t="s">
        <v>119</v>
      </c>
      <c r="E8" s="31">
        <v>2520</v>
      </c>
      <c r="F8" s="32">
        <v>0.08</v>
      </c>
    </row>
    <row r="9" spans="1:6" ht="15.75" hidden="1" thickTop="1" x14ac:dyDescent="0.25">
      <c r="A9" t="str">
        <f t="shared" si="0"/>
        <v>6843294</v>
      </c>
      <c r="B9">
        <v>68</v>
      </c>
      <c r="C9" s="7">
        <v>43294</v>
      </c>
      <c r="D9" s="10" t="s">
        <v>120</v>
      </c>
      <c r="E9" s="31">
        <v>2480</v>
      </c>
      <c r="F9" s="32">
        <v>0.96</v>
      </c>
    </row>
    <row r="10" spans="1:6" ht="15.75" hidden="1" thickTop="1" x14ac:dyDescent="0.25">
      <c r="A10" t="str">
        <f t="shared" si="0"/>
        <v>14A43371</v>
      </c>
      <c r="B10" t="s">
        <v>121</v>
      </c>
      <c r="C10" s="7">
        <v>43371</v>
      </c>
      <c r="D10" s="10" t="s">
        <v>122</v>
      </c>
      <c r="E10" s="31">
        <v>5820</v>
      </c>
      <c r="F10" s="32">
        <v>1.83</v>
      </c>
    </row>
    <row r="11" spans="1:6" ht="15.75" hidden="1" thickTop="1" x14ac:dyDescent="0.25">
      <c r="A11" t="str">
        <f t="shared" si="0"/>
        <v>14A43238</v>
      </c>
      <c r="B11" t="s">
        <v>121</v>
      </c>
      <c r="C11" s="7">
        <v>43238</v>
      </c>
      <c r="D11" s="10" t="s">
        <v>123</v>
      </c>
      <c r="E11" s="31">
        <v>3550</v>
      </c>
      <c r="F11" s="32">
        <v>1.9</v>
      </c>
    </row>
    <row r="12" spans="1:6" ht="15.75" hidden="1" thickTop="1" x14ac:dyDescent="0.25">
      <c r="A12" t="str">
        <f t="shared" si="0"/>
        <v>14A43294</v>
      </c>
      <c r="B12" t="s">
        <v>121</v>
      </c>
      <c r="C12" s="7">
        <v>43294</v>
      </c>
      <c r="D12" s="10" t="s">
        <v>124</v>
      </c>
      <c r="E12" s="31">
        <v>9300</v>
      </c>
      <c r="F12" s="32">
        <v>3.8</v>
      </c>
    </row>
    <row r="13" spans="1:6" ht="15.75" hidden="1" thickTop="1" x14ac:dyDescent="0.25">
      <c r="A13" t="str">
        <f t="shared" si="0"/>
        <v>14A43216</v>
      </c>
      <c r="B13" t="s">
        <v>121</v>
      </c>
      <c r="C13" s="7">
        <v>43216</v>
      </c>
      <c r="D13" s="10" t="s">
        <v>125</v>
      </c>
      <c r="E13" s="31">
        <v>5570</v>
      </c>
      <c r="F13" s="32">
        <v>1.81</v>
      </c>
    </row>
    <row r="14" spans="1:6" ht="15.75" hidden="1" thickTop="1" x14ac:dyDescent="0.25">
      <c r="A14" t="str">
        <f t="shared" si="0"/>
        <v>14A0 Hr</v>
      </c>
      <c r="B14" t="s">
        <v>121</v>
      </c>
      <c r="C14" t="s">
        <v>126</v>
      </c>
      <c r="D14" s="10" t="s">
        <v>127</v>
      </c>
      <c r="E14" s="31">
        <v>11250</v>
      </c>
      <c r="F14" s="32">
        <v>4.8</v>
      </c>
    </row>
    <row r="15" spans="1:6" ht="15.75" hidden="1" thickTop="1" x14ac:dyDescent="0.25">
      <c r="A15" t="str">
        <f t="shared" si="0"/>
        <v>14A12 Hr</v>
      </c>
      <c r="B15" t="s">
        <v>121</v>
      </c>
      <c r="C15" t="s">
        <v>128</v>
      </c>
      <c r="D15" s="10" t="s">
        <v>129</v>
      </c>
      <c r="E15" s="31">
        <v>11500</v>
      </c>
      <c r="F15" s="32">
        <v>4.8499999999999996</v>
      </c>
    </row>
    <row r="16" spans="1:6" ht="15.75" hidden="1" thickTop="1" x14ac:dyDescent="0.25">
      <c r="A16" t="str">
        <f t="shared" si="0"/>
        <v>14A24 Hr</v>
      </c>
      <c r="B16" t="s">
        <v>121</v>
      </c>
      <c r="C16" t="s">
        <v>130</v>
      </c>
      <c r="D16" s="10" t="s">
        <v>131</v>
      </c>
      <c r="E16" s="31">
        <v>12150</v>
      </c>
      <c r="F16" s="32">
        <v>4.95</v>
      </c>
    </row>
    <row r="17" spans="1:6" ht="15.75" hidden="1" thickTop="1" x14ac:dyDescent="0.25">
      <c r="A17" t="str">
        <f t="shared" si="0"/>
        <v>14B43371</v>
      </c>
      <c r="B17" t="s">
        <v>132</v>
      </c>
      <c r="C17" s="7">
        <v>43371</v>
      </c>
      <c r="D17" s="10" t="s">
        <v>133</v>
      </c>
      <c r="E17" s="31">
        <v>2430</v>
      </c>
      <c r="F17" s="32">
        <v>0.21</v>
      </c>
    </row>
    <row r="18" spans="1:6" ht="15.75" hidden="1" thickTop="1" x14ac:dyDescent="0.25">
      <c r="A18" t="str">
        <f t="shared" si="0"/>
        <v>14B43238</v>
      </c>
      <c r="B18" t="s">
        <v>132</v>
      </c>
      <c r="C18" s="7">
        <v>43238</v>
      </c>
      <c r="D18" s="10" t="s">
        <v>134</v>
      </c>
      <c r="E18" s="31">
        <v>1990</v>
      </c>
      <c r="F18" s="32">
        <v>0.33</v>
      </c>
    </row>
    <row r="19" spans="1:6" ht="15.75" hidden="1" thickTop="1" x14ac:dyDescent="0.25">
      <c r="A19" t="str">
        <f t="shared" si="0"/>
        <v>14B43216</v>
      </c>
      <c r="B19" t="s">
        <v>132</v>
      </c>
      <c r="C19" s="7">
        <v>43216</v>
      </c>
      <c r="D19" s="10" t="s">
        <v>135</v>
      </c>
      <c r="E19" s="31">
        <v>13450</v>
      </c>
      <c r="F19" s="32">
        <v>3.35</v>
      </c>
    </row>
    <row r="20" spans="1:6" ht="15.75" hidden="1" thickTop="1" x14ac:dyDescent="0.25">
      <c r="A20" t="str">
        <f t="shared" si="0"/>
        <v>14B43294</v>
      </c>
      <c r="B20" t="s">
        <v>132</v>
      </c>
      <c r="C20" s="7">
        <v>43294</v>
      </c>
      <c r="D20" s="10" t="s">
        <v>136</v>
      </c>
      <c r="E20" s="31">
        <v>2530</v>
      </c>
      <c r="F20" s="32">
        <v>0.18</v>
      </c>
    </row>
    <row r="21" spans="1:6" ht="15.75" hidden="1" thickTop="1" x14ac:dyDescent="0.25">
      <c r="A21" t="str">
        <f t="shared" si="0"/>
        <v>230 Hr</v>
      </c>
      <c r="B21">
        <v>23</v>
      </c>
      <c r="C21" t="s">
        <v>126</v>
      </c>
      <c r="D21" s="10" t="s">
        <v>137</v>
      </c>
      <c r="E21" s="31">
        <v>1510</v>
      </c>
      <c r="F21" s="32">
        <v>0.04</v>
      </c>
    </row>
    <row r="22" spans="1:6" ht="15.75" hidden="1" thickTop="1" x14ac:dyDescent="0.25">
      <c r="A22" t="str">
        <f t="shared" si="0"/>
        <v>2312 Hr</v>
      </c>
      <c r="B22">
        <v>23</v>
      </c>
      <c r="C22" t="s">
        <v>128</v>
      </c>
      <c r="D22" s="10" t="s">
        <v>138</v>
      </c>
      <c r="E22" s="31">
        <v>1610</v>
      </c>
      <c r="F22" s="32">
        <v>0.03</v>
      </c>
    </row>
    <row r="23" spans="1:6" ht="15.75" hidden="1" thickTop="1" x14ac:dyDescent="0.25">
      <c r="A23" t="str">
        <f t="shared" si="0"/>
        <v>2324 Hr</v>
      </c>
      <c r="B23">
        <v>23</v>
      </c>
      <c r="C23" t="s">
        <v>130</v>
      </c>
      <c r="D23" s="10" t="s">
        <v>139</v>
      </c>
      <c r="E23" s="31">
        <v>1500</v>
      </c>
      <c r="F23" s="32">
        <v>0.03</v>
      </c>
    </row>
    <row r="24" spans="1:6" ht="15.75" hidden="1" thickTop="1" x14ac:dyDescent="0.25">
      <c r="A24" t="str">
        <f t="shared" si="0"/>
        <v>32A43370</v>
      </c>
      <c r="B24" t="s">
        <v>140</v>
      </c>
      <c r="C24" s="7">
        <v>43370</v>
      </c>
      <c r="D24" s="10" t="s">
        <v>141</v>
      </c>
      <c r="E24" s="31">
        <v>5640</v>
      </c>
      <c r="F24" s="32">
        <v>0.8</v>
      </c>
    </row>
    <row r="25" spans="1:6" ht="15.75" hidden="1" thickTop="1" x14ac:dyDescent="0.25">
      <c r="A25" t="str">
        <f t="shared" si="0"/>
        <v>32A43221</v>
      </c>
      <c r="B25" t="s">
        <v>140</v>
      </c>
      <c r="C25" s="7">
        <v>43221</v>
      </c>
      <c r="D25" s="10" t="s">
        <v>142</v>
      </c>
      <c r="E25" s="31">
        <v>3550</v>
      </c>
      <c r="F25" s="32">
        <v>0.7</v>
      </c>
    </row>
    <row r="26" spans="1:6" ht="15.75" hidden="1" thickTop="1" x14ac:dyDescent="0.25">
      <c r="A26" t="str">
        <f t="shared" si="0"/>
        <v>32A43293</v>
      </c>
      <c r="B26" t="s">
        <v>140</v>
      </c>
      <c r="C26" s="7">
        <v>43293</v>
      </c>
      <c r="D26" s="10" t="s">
        <v>143</v>
      </c>
      <c r="E26" s="31">
        <v>2380</v>
      </c>
      <c r="F26" s="32">
        <v>0.56999999999999995</v>
      </c>
    </row>
    <row r="27" spans="1:6" ht="15.75" hidden="1" thickTop="1" x14ac:dyDescent="0.25">
      <c r="A27" t="str">
        <f t="shared" si="0"/>
        <v>32A43243</v>
      </c>
      <c r="B27" t="s">
        <v>140</v>
      </c>
      <c r="C27" s="7">
        <v>43243</v>
      </c>
      <c r="D27" s="10" t="s">
        <v>144</v>
      </c>
      <c r="E27" s="31">
        <v>2230</v>
      </c>
      <c r="F27" s="32">
        <v>0.47</v>
      </c>
    </row>
    <row r="28" spans="1:6" ht="15.75" hidden="1" thickTop="1" x14ac:dyDescent="0.25">
      <c r="A28" t="str">
        <f t="shared" si="0"/>
        <v>32B43370</v>
      </c>
      <c r="B28" t="s">
        <v>145</v>
      </c>
      <c r="C28" s="7">
        <v>43370</v>
      </c>
      <c r="D28" s="10" t="s">
        <v>146</v>
      </c>
      <c r="E28" s="31">
        <v>2540</v>
      </c>
      <c r="F28" s="32">
        <v>0.57999999999999996</v>
      </c>
    </row>
    <row r="29" spans="1:6" ht="15.75" hidden="1" thickTop="1" x14ac:dyDescent="0.25">
      <c r="A29" t="str">
        <f t="shared" si="0"/>
        <v>32B43221</v>
      </c>
      <c r="B29" t="s">
        <v>145</v>
      </c>
      <c r="C29" s="7">
        <v>43221</v>
      </c>
      <c r="D29" s="10" t="s">
        <v>147</v>
      </c>
      <c r="E29" s="31">
        <v>2410</v>
      </c>
      <c r="F29" s="32">
        <v>1.31</v>
      </c>
    </row>
    <row r="30" spans="1:6" ht="15.75" hidden="1" thickTop="1" x14ac:dyDescent="0.25">
      <c r="A30" t="str">
        <f t="shared" si="0"/>
        <v>32B43243</v>
      </c>
      <c r="B30" t="s">
        <v>145</v>
      </c>
      <c r="C30" s="7">
        <v>43243</v>
      </c>
      <c r="D30" s="10" t="s">
        <v>148</v>
      </c>
      <c r="E30" s="31">
        <v>2180</v>
      </c>
      <c r="F30" s="32">
        <v>1.1599999999999999</v>
      </c>
    </row>
    <row r="31" spans="1:6" ht="15.75" hidden="1" thickTop="1" x14ac:dyDescent="0.25">
      <c r="A31" t="str">
        <f t="shared" si="0"/>
        <v>32B43293</v>
      </c>
      <c r="B31" t="s">
        <v>145</v>
      </c>
      <c r="C31" s="7">
        <v>43293</v>
      </c>
      <c r="D31" s="10" t="s">
        <v>149</v>
      </c>
      <c r="E31" s="31">
        <v>2080</v>
      </c>
      <c r="F31" s="32">
        <v>0.57999999999999996</v>
      </c>
    </row>
    <row r="32" spans="1:6" ht="15.75" hidden="1" thickTop="1" x14ac:dyDescent="0.25">
      <c r="A32" t="str">
        <f t="shared" si="0"/>
        <v>32C43237</v>
      </c>
      <c r="B32" t="s">
        <v>150</v>
      </c>
      <c r="C32" s="7">
        <v>43237</v>
      </c>
      <c r="D32" s="10" t="s">
        <v>151</v>
      </c>
      <c r="E32" s="31">
        <v>1790</v>
      </c>
      <c r="F32" s="32">
        <v>0.33</v>
      </c>
    </row>
    <row r="33" spans="1:6" ht="15.75" hidden="1" thickTop="1" x14ac:dyDescent="0.25">
      <c r="A33" t="str">
        <f t="shared" si="0"/>
        <v>32C43221</v>
      </c>
      <c r="B33" t="s">
        <v>150</v>
      </c>
      <c r="C33" s="7">
        <v>43221</v>
      </c>
      <c r="D33" s="10" t="s">
        <v>152</v>
      </c>
      <c r="E33" s="31">
        <v>1790</v>
      </c>
      <c r="F33" s="32">
        <v>0.36</v>
      </c>
    </row>
    <row r="34" spans="1:6" ht="15.75" hidden="1" thickTop="1" x14ac:dyDescent="0.25">
      <c r="A34" t="str">
        <f t="shared" si="0"/>
        <v>32C43370</v>
      </c>
      <c r="B34" t="s">
        <v>150</v>
      </c>
      <c r="C34" s="7">
        <v>43370</v>
      </c>
      <c r="D34" s="10" t="s">
        <v>153</v>
      </c>
      <c r="E34" s="31">
        <v>2830</v>
      </c>
      <c r="F34" s="32">
        <v>0.13</v>
      </c>
    </row>
    <row r="35" spans="1:6" ht="15.75" hidden="1" thickTop="1" x14ac:dyDescent="0.25">
      <c r="A35" t="str">
        <f t="shared" si="0"/>
        <v>32C43293</v>
      </c>
      <c r="B35" t="s">
        <v>150</v>
      </c>
      <c r="C35" s="7">
        <v>43293</v>
      </c>
      <c r="D35" s="10" t="s">
        <v>154</v>
      </c>
      <c r="E35" s="31">
        <v>2390</v>
      </c>
      <c r="F35" s="32">
        <v>0.21</v>
      </c>
    </row>
    <row r="36" spans="1:6" ht="15.75" hidden="1" thickTop="1" x14ac:dyDescent="0.25">
      <c r="A36" t="str">
        <f t="shared" si="0"/>
        <v>4A43234</v>
      </c>
      <c r="B36" t="s">
        <v>155</v>
      </c>
      <c r="C36" s="7">
        <v>43234</v>
      </c>
      <c r="D36" s="10" t="s">
        <v>156</v>
      </c>
      <c r="E36" s="31">
        <v>1700</v>
      </c>
      <c r="F36" s="32">
        <v>0.06</v>
      </c>
    </row>
    <row r="37" spans="1:6" ht="15.75" hidden="1" thickTop="1" x14ac:dyDescent="0.25">
      <c r="A37" t="str">
        <f t="shared" si="0"/>
        <v>4A43320</v>
      </c>
      <c r="B37" t="s">
        <v>155</v>
      </c>
      <c r="C37" s="7">
        <v>43320</v>
      </c>
      <c r="D37" s="10" t="s">
        <v>157</v>
      </c>
      <c r="E37" s="31">
        <v>1880</v>
      </c>
      <c r="F37" s="32">
        <v>0.22</v>
      </c>
    </row>
    <row r="38" spans="1:6" ht="15.75" hidden="1" thickTop="1" x14ac:dyDescent="0.25">
      <c r="A38" t="str">
        <f t="shared" si="0"/>
        <v>4A43367</v>
      </c>
      <c r="B38" t="s">
        <v>155</v>
      </c>
      <c r="C38" s="7">
        <v>43367</v>
      </c>
      <c r="D38" s="10" t="s">
        <v>158</v>
      </c>
      <c r="E38" s="31">
        <v>2360</v>
      </c>
      <c r="F38" s="32">
        <v>0.15</v>
      </c>
    </row>
    <row r="39" spans="1:6" ht="15.75" hidden="1" thickTop="1" x14ac:dyDescent="0.25">
      <c r="A39" t="str">
        <f t="shared" si="0"/>
        <v>4A43290</v>
      </c>
      <c r="B39" t="s">
        <v>155</v>
      </c>
      <c r="C39" s="7">
        <v>43290</v>
      </c>
      <c r="D39" s="10" t="s">
        <v>159</v>
      </c>
      <c r="E39" s="31">
        <v>1560</v>
      </c>
      <c r="F39" s="32">
        <v>7.0000000000000007E-2</v>
      </c>
    </row>
    <row r="40" spans="1:6" ht="15.75" hidden="1" thickTop="1" x14ac:dyDescent="0.25">
      <c r="A40" t="str">
        <f t="shared" si="0"/>
        <v>4A43262</v>
      </c>
      <c r="B40" t="s">
        <v>155</v>
      </c>
      <c r="C40" s="7">
        <v>43262</v>
      </c>
      <c r="D40" s="10" t="s">
        <v>160</v>
      </c>
      <c r="E40" s="31">
        <v>1620</v>
      </c>
      <c r="F40" s="32">
        <v>0.11</v>
      </c>
    </row>
    <row r="41" spans="1:6" ht="15.75" hidden="1" thickTop="1" x14ac:dyDescent="0.25">
      <c r="A41" t="str">
        <f t="shared" si="0"/>
        <v>4A43214</v>
      </c>
      <c r="B41" t="s">
        <v>155</v>
      </c>
      <c r="C41" s="7">
        <v>43214</v>
      </c>
      <c r="D41" s="10" t="s">
        <v>161</v>
      </c>
      <c r="E41" s="31">
        <v>4786.55</v>
      </c>
      <c r="F41" s="32">
        <v>0.2</v>
      </c>
    </row>
    <row r="42" spans="1:6" ht="15.75" hidden="1" thickTop="1" x14ac:dyDescent="0.25">
      <c r="A42" t="str">
        <f t="shared" si="0"/>
        <v>4C43236</v>
      </c>
      <c r="B42" t="s">
        <v>162</v>
      </c>
      <c r="C42" s="7">
        <v>43236</v>
      </c>
      <c r="D42" s="10" t="s">
        <v>163</v>
      </c>
      <c r="E42" s="31">
        <v>1120</v>
      </c>
      <c r="F42" s="32">
        <v>0.02</v>
      </c>
    </row>
    <row r="43" spans="1:6" ht="15.75" hidden="1" thickTop="1" x14ac:dyDescent="0.25">
      <c r="A43" t="str">
        <f t="shared" si="0"/>
        <v>4C43369</v>
      </c>
      <c r="B43" t="s">
        <v>162</v>
      </c>
      <c r="C43" s="7">
        <v>43369</v>
      </c>
      <c r="D43" s="10" t="s">
        <v>164</v>
      </c>
      <c r="E43" s="31">
        <v>1740</v>
      </c>
      <c r="F43" s="32">
        <v>0.02</v>
      </c>
    </row>
    <row r="44" spans="1:6" ht="15.75" hidden="1" thickTop="1" x14ac:dyDescent="0.25">
      <c r="A44" t="str">
        <f t="shared" si="0"/>
        <v>4C43292</v>
      </c>
      <c r="B44" t="s">
        <v>162</v>
      </c>
      <c r="C44" s="7">
        <v>43292</v>
      </c>
      <c r="D44" s="10" t="s">
        <v>165</v>
      </c>
      <c r="E44" s="31">
        <v>1290</v>
      </c>
      <c r="F44" s="32">
        <v>0.03</v>
      </c>
    </row>
    <row r="45" spans="1:6" ht="15.75" hidden="1" thickTop="1" x14ac:dyDescent="0.25">
      <c r="A45" t="str">
        <f t="shared" si="0"/>
        <v>4C43214</v>
      </c>
      <c r="B45" t="s">
        <v>162</v>
      </c>
      <c r="C45" s="7">
        <v>43214</v>
      </c>
      <c r="D45" s="10" t="s">
        <v>166</v>
      </c>
      <c r="E45" s="31">
        <v>1670</v>
      </c>
      <c r="F45" s="32">
        <v>0.02</v>
      </c>
    </row>
    <row r="46" spans="1:6" ht="15.75" hidden="1" thickTop="1" x14ac:dyDescent="0.25">
      <c r="A46" t="str">
        <f t="shared" si="0"/>
        <v>4C0 Hr</v>
      </c>
      <c r="B46" t="s">
        <v>162</v>
      </c>
      <c r="C46" t="s">
        <v>126</v>
      </c>
      <c r="D46" s="10" t="s">
        <v>167</v>
      </c>
      <c r="E46" s="31">
        <v>1400</v>
      </c>
      <c r="F46" s="32">
        <v>0.03</v>
      </c>
    </row>
    <row r="47" spans="1:6" ht="15.75" hidden="1" thickTop="1" x14ac:dyDescent="0.25">
      <c r="A47" t="str">
        <f t="shared" si="0"/>
        <v>4C12 Hr</v>
      </c>
      <c r="B47" t="s">
        <v>162</v>
      </c>
      <c r="C47" t="s">
        <v>128</v>
      </c>
      <c r="D47" s="10" t="s">
        <v>168</v>
      </c>
      <c r="E47" s="31">
        <v>1440</v>
      </c>
      <c r="F47" s="32">
        <v>0.03</v>
      </c>
    </row>
    <row r="48" spans="1:6" ht="15.75" hidden="1" thickTop="1" x14ac:dyDescent="0.25">
      <c r="A48" t="str">
        <f t="shared" si="0"/>
        <v>4C24 Hr</v>
      </c>
      <c r="B48" t="s">
        <v>162</v>
      </c>
      <c r="C48" t="s">
        <v>130</v>
      </c>
      <c r="D48" s="10" t="s">
        <v>169</v>
      </c>
      <c r="E48" s="31">
        <v>1390</v>
      </c>
      <c r="F48" s="32">
        <v>0.03</v>
      </c>
    </row>
    <row r="49" spans="1:6" ht="15.75" hidden="1" thickTop="1" x14ac:dyDescent="0.25">
      <c r="A49" t="str">
        <f t="shared" si="0"/>
        <v>4D43236</v>
      </c>
      <c r="B49" t="s">
        <v>170</v>
      </c>
      <c r="C49" s="7">
        <v>43236</v>
      </c>
      <c r="D49" s="10" t="s">
        <v>171</v>
      </c>
      <c r="E49" s="31">
        <v>1420</v>
      </c>
      <c r="F49" s="32">
        <v>0.04</v>
      </c>
    </row>
    <row r="50" spans="1:6" ht="15.75" hidden="1" thickTop="1" x14ac:dyDescent="0.25">
      <c r="A50" t="str">
        <f t="shared" si="0"/>
        <v>4D43369</v>
      </c>
      <c r="B50" t="s">
        <v>170</v>
      </c>
      <c r="C50" s="7">
        <v>43369</v>
      </c>
      <c r="D50" s="10" t="s">
        <v>172</v>
      </c>
      <c r="E50" s="31">
        <v>2300</v>
      </c>
      <c r="F50" s="32">
        <v>0.05</v>
      </c>
    </row>
    <row r="51" spans="1:6" ht="15.75" hidden="1" thickTop="1" x14ac:dyDescent="0.25">
      <c r="A51" t="str">
        <f t="shared" si="0"/>
        <v>4D43320</v>
      </c>
      <c r="B51" t="s">
        <v>170</v>
      </c>
      <c r="C51" s="7">
        <v>43320</v>
      </c>
      <c r="D51" s="10" t="s">
        <v>173</v>
      </c>
      <c r="E51" s="31">
        <v>2390</v>
      </c>
      <c r="F51" s="32">
        <v>7.0000000000000007E-2</v>
      </c>
    </row>
    <row r="52" spans="1:6" ht="15.75" hidden="1" thickTop="1" x14ac:dyDescent="0.25">
      <c r="A52" t="str">
        <f t="shared" si="0"/>
        <v>4D43262</v>
      </c>
      <c r="B52" t="s">
        <v>170</v>
      </c>
      <c r="C52" s="7">
        <v>43262</v>
      </c>
      <c r="D52" s="10" t="s">
        <v>174</v>
      </c>
      <c r="E52" s="31">
        <v>1440</v>
      </c>
      <c r="F52" s="32">
        <v>0.03</v>
      </c>
    </row>
    <row r="53" spans="1:6" ht="15.75" hidden="1" thickTop="1" x14ac:dyDescent="0.25">
      <c r="A53" t="str">
        <f t="shared" si="0"/>
        <v>4D43292</v>
      </c>
      <c r="B53" t="s">
        <v>170</v>
      </c>
      <c r="C53" s="7">
        <v>43292</v>
      </c>
      <c r="D53" s="10" t="s">
        <v>175</v>
      </c>
      <c r="E53" s="31">
        <v>1490</v>
      </c>
      <c r="F53" s="32">
        <v>0.02</v>
      </c>
    </row>
    <row r="54" spans="1:6" ht="15.75" hidden="1" thickTop="1" x14ac:dyDescent="0.25">
      <c r="A54" t="str">
        <f t="shared" si="0"/>
        <v>4D43214</v>
      </c>
      <c r="B54" t="s">
        <v>170</v>
      </c>
      <c r="C54" s="7">
        <v>43214</v>
      </c>
      <c r="D54" s="10" t="s">
        <v>176</v>
      </c>
      <c r="E54" s="31">
        <v>4161.6000000000004</v>
      </c>
      <c r="F54" s="32">
        <v>0.15</v>
      </c>
    </row>
    <row r="55" spans="1:6" ht="15.75" hidden="1" thickTop="1" x14ac:dyDescent="0.25">
      <c r="A55" t="str">
        <f t="shared" si="0"/>
        <v>56A43236</v>
      </c>
      <c r="B55" t="s">
        <v>177</v>
      </c>
      <c r="C55" s="7">
        <v>43236</v>
      </c>
      <c r="D55" s="10" t="s">
        <v>178</v>
      </c>
      <c r="E55" s="31">
        <v>1620</v>
      </c>
      <c r="F55" s="32">
        <v>0.14000000000000001</v>
      </c>
    </row>
    <row r="56" spans="1:6" ht="15.75" hidden="1" thickTop="1" x14ac:dyDescent="0.25">
      <c r="A56" t="str">
        <f t="shared" si="0"/>
        <v>56A43369</v>
      </c>
      <c r="B56" t="s">
        <v>177</v>
      </c>
      <c r="C56" s="7">
        <v>43369</v>
      </c>
      <c r="D56" s="10" t="s">
        <v>179</v>
      </c>
      <c r="E56" s="31">
        <v>2430</v>
      </c>
      <c r="F56" s="32">
        <v>0.04</v>
      </c>
    </row>
    <row r="57" spans="1:6" ht="15.75" hidden="1" thickTop="1" x14ac:dyDescent="0.25">
      <c r="A57" t="str">
        <f t="shared" si="0"/>
        <v>56A43292</v>
      </c>
      <c r="B57" t="s">
        <v>177</v>
      </c>
      <c r="C57" s="7">
        <v>43292</v>
      </c>
      <c r="D57" s="10" t="s">
        <v>180</v>
      </c>
      <c r="E57" s="31">
        <v>1860</v>
      </c>
      <c r="F57" s="32">
        <v>0.05</v>
      </c>
    </row>
    <row r="58" spans="1:6" ht="15.75" hidden="1" thickTop="1" x14ac:dyDescent="0.25">
      <c r="A58" t="str">
        <f t="shared" si="0"/>
        <v>56A43215</v>
      </c>
      <c r="B58" t="s">
        <v>177</v>
      </c>
      <c r="C58" s="7">
        <v>43215</v>
      </c>
      <c r="D58" s="10" t="s">
        <v>181</v>
      </c>
      <c r="E58" s="31">
        <v>1530</v>
      </c>
      <c r="F58" s="32">
        <v>0.21</v>
      </c>
    </row>
    <row r="59" spans="1:6" ht="15.75" hidden="1" thickTop="1" x14ac:dyDescent="0.25">
      <c r="A59" t="str">
        <f t="shared" si="0"/>
        <v>56A0 Hr</v>
      </c>
      <c r="B59" t="s">
        <v>177</v>
      </c>
      <c r="C59" t="s">
        <v>126</v>
      </c>
      <c r="D59" s="10" t="s">
        <v>182</v>
      </c>
      <c r="E59" s="31">
        <v>2000</v>
      </c>
      <c r="F59" s="32">
        <v>0.05</v>
      </c>
    </row>
    <row r="60" spans="1:6" ht="15.75" hidden="1" thickTop="1" x14ac:dyDescent="0.25">
      <c r="A60" t="str">
        <f t="shared" si="0"/>
        <v>56A12 Hr</v>
      </c>
      <c r="B60" t="s">
        <v>177</v>
      </c>
      <c r="C60" t="s">
        <v>128</v>
      </c>
      <c r="D60" s="10" t="s">
        <v>183</v>
      </c>
      <c r="E60" s="31">
        <v>1960</v>
      </c>
      <c r="F60" s="32">
        <v>0.04</v>
      </c>
    </row>
    <row r="61" spans="1:6" ht="15.75" hidden="1" thickTop="1" x14ac:dyDescent="0.25">
      <c r="A61" t="str">
        <f t="shared" si="0"/>
        <v>56A24 Hr</v>
      </c>
      <c r="B61" t="s">
        <v>177</v>
      </c>
      <c r="C61" t="s">
        <v>130</v>
      </c>
      <c r="D61" s="10" t="s">
        <v>184</v>
      </c>
      <c r="E61" s="31">
        <v>1950</v>
      </c>
      <c r="F61" s="32">
        <v>0.04</v>
      </c>
    </row>
    <row r="62" spans="1:6" ht="15.75" hidden="1" thickTop="1" x14ac:dyDescent="0.25">
      <c r="A62" t="str">
        <f t="shared" si="0"/>
        <v>56B43369</v>
      </c>
      <c r="B62" t="s">
        <v>185</v>
      </c>
      <c r="C62" s="7">
        <v>43369</v>
      </c>
      <c r="D62" s="10" t="s">
        <v>186</v>
      </c>
      <c r="E62" s="31">
        <v>3640</v>
      </c>
      <c r="F62" s="32">
        <v>0.27</v>
      </c>
    </row>
    <row r="63" spans="1:6" ht="15.75" hidden="1" thickTop="1" x14ac:dyDescent="0.25">
      <c r="A63" t="str">
        <f t="shared" si="0"/>
        <v>56B43236</v>
      </c>
      <c r="B63" t="s">
        <v>185</v>
      </c>
      <c r="C63" s="7">
        <v>43236</v>
      </c>
      <c r="D63" s="10" t="s">
        <v>187</v>
      </c>
      <c r="E63" s="31">
        <v>2340</v>
      </c>
      <c r="F63" s="32">
        <v>0.42</v>
      </c>
    </row>
    <row r="64" spans="1:6" ht="15.75" hidden="1" thickTop="1" x14ac:dyDescent="0.25">
      <c r="A64" t="str">
        <f t="shared" si="0"/>
        <v>56B43292</v>
      </c>
      <c r="B64" t="s">
        <v>185</v>
      </c>
      <c r="C64" s="7">
        <v>43292</v>
      </c>
      <c r="D64" s="10" t="s">
        <v>188</v>
      </c>
      <c r="E64" s="31">
        <v>2520</v>
      </c>
      <c r="F64" s="32">
        <v>0.17</v>
      </c>
    </row>
    <row r="65" spans="1:6" ht="15.75" hidden="1" thickTop="1" x14ac:dyDescent="0.25">
      <c r="A65" t="str">
        <f t="shared" si="0"/>
        <v>56B43215</v>
      </c>
      <c r="B65" t="s">
        <v>185</v>
      </c>
      <c r="C65" s="7">
        <v>43215</v>
      </c>
      <c r="D65" s="1" t="s">
        <v>189</v>
      </c>
      <c r="E65" s="31">
        <v>1950</v>
      </c>
      <c r="F65" s="32">
        <v>0.48</v>
      </c>
    </row>
    <row r="66" spans="1:6" ht="15.75" hidden="1" thickTop="1" x14ac:dyDescent="0.25">
      <c r="A66" t="str">
        <f t="shared" si="0"/>
        <v>61B43235</v>
      </c>
      <c r="B66" t="s">
        <v>190</v>
      </c>
      <c r="C66" s="7">
        <v>43235</v>
      </c>
      <c r="D66" s="10" t="s">
        <v>191</v>
      </c>
      <c r="E66" s="31">
        <v>1470</v>
      </c>
      <c r="F66" s="32">
        <v>0.02</v>
      </c>
    </row>
    <row r="67" spans="1:6" ht="15.75" hidden="1" thickTop="1" x14ac:dyDescent="0.25">
      <c r="A67" t="str">
        <f t="shared" ref="A67:A121" si="1">B67&amp;C67</f>
        <v>61B43368</v>
      </c>
      <c r="B67" t="s">
        <v>190</v>
      </c>
      <c r="C67" s="7">
        <v>43368</v>
      </c>
      <c r="D67" s="10" t="s">
        <v>192</v>
      </c>
      <c r="E67" s="31">
        <v>3440</v>
      </c>
      <c r="F67" s="32">
        <v>0.03</v>
      </c>
    </row>
    <row r="68" spans="1:6" ht="15.75" hidden="1" thickTop="1" x14ac:dyDescent="0.25">
      <c r="A68" t="str">
        <f t="shared" si="1"/>
        <v>61B43291</v>
      </c>
      <c r="B68" t="s">
        <v>190</v>
      </c>
      <c r="C68" s="7">
        <v>43291</v>
      </c>
      <c r="D68" s="10" t="s">
        <v>193</v>
      </c>
      <c r="E68" s="31">
        <v>2650</v>
      </c>
      <c r="F68" s="32">
        <v>0.02</v>
      </c>
    </row>
    <row r="69" spans="1:6" ht="15.75" hidden="1" thickTop="1" x14ac:dyDescent="0.25">
      <c r="A69" t="str">
        <f t="shared" si="1"/>
        <v>61B43223</v>
      </c>
      <c r="B69" t="s">
        <v>190</v>
      </c>
      <c r="C69" s="7">
        <v>43223</v>
      </c>
      <c r="D69" s="10" t="s">
        <v>194</v>
      </c>
      <c r="E69" s="31">
        <v>1610</v>
      </c>
      <c r="F69" s="32">
        <v>0.02</v>
      </c>
    </row>
    <row r="70" spans="1:6" ht="15.75" hidden="1" thickTop="1" x14ac:dyDescent="0.25">
      <c r="A70" t="str">
        <f t="shared" si="1"/>
        <v>61C43368</v>
      </c>
      <c r="B70" t="s">
        <v>195</v>
      </c>
      <c r="C70" s="7">
        <v>43368</v>
      </c>
      <c r="D70" s="10" t="s">
        <v>196</v>
      </c>
      <c r="E70" s="31">
        <v>3040</v>
      </c>
      <c r="F70" s="32">
        <v>0.08</v>
      </c>
    </row>
    <row r="71" spans="1:6" ht="15.75" hidden="1" thickTop="1" x14ac:dyDescent="0.25">
      <c r="A71" t="str">
        <f t="shared" si="1"/>
        <v>61C43235</v>
      </c>
      <c r="B71" t="s">
        <v>195</v>
      </c>
      <c r="C71" s="7">
        <v>43235</v>
      </c>
      <c r="D71" s="10" t="s">
        <v>197</v>
      </c>
      <c r="E71" s="31">
        <v>2010</v>
      </c>
      <c r="F71" s="32">
        <v>0.05</v>
      </c>
    </row>
    <row r="72" spans="1:6" ht="15.75" hidden="1" thickTop="1" x14ac:dyDescent="0.25">
      <c r="A72" t="str">
        <f t="shared" si="1"/>
        <v>61C43223</v>
      </c>
      <c r="B72" t="s">
        <v>195</v>
      </c>
      <c r="C72" s="7">
        <v>43223</v>
      </c>
      <c r="D72" s="10" t="s">
        <v>198</v>
      </c>
      <c r="E72" s="31">
        <v>1850</v>
      </c>
      <c r="F72" s="32">
        <v>0.16</v>
      </c>
    </row>
    <row r="73" spans="1:6" ht="15.75" hidden="1" thickTop="1" x14ac:dyDescent="0.25">
      <c r="A73" t="str">
        <f t="shared" si="1"/>
        <v>61C43291</v>
      </c>
      <c r="B73" t="s">
        <v>195</v>
      </c>
      <c r="C73" s="7">
        <v>43291</v>
      </c>
      <c r="D73" s="10" t="s">
        <v>199</v>
      </c>
      <c r="E73" s="31">
        <v>2110</v>
      </c>
      <c r="F73" s="32">
        <v>0.04</v>
      </c>
    </row>
    <row r="74" spans="1:6" ht="15" hidden="1" customHeight="1" x14ac:dyDescent="0.25">
      <c r="A74" t="str">
        <f t="shared" si="1"/>
        <v>62B43368</v>
      </c>
      <c r="B74" t="s">
        <v>200</v>
      </c>
      <c r="C74" s="7">
        <v>43368</v>
      </c>
      <c r="D74" s="10" t="s">
        <v>201</v>
      </c>
      <c r="E74" s="31">
        <v>2910</v>
      </c>
      <c r="F74" s="32">
        <v>0.06</v>
      </c>
    </row>
    <row r="75" spans="1:6" ht="15.75" hidden="1" thickTop="1" x14ac:dyDescent="0.25">
      <c r="A75" t="str">
        <f t="shared" si="1"/>
        <v>62B43235</v>
      </c>
      <c r="B75" t="s">
        <v>200</v>
      </c>
      <c r="C75" s="7">
        <v>43235</v>
      </c>
      <c r="D75" s="10" t="s">
        <v>202</v>
      </c>
      <c r="E75" s="31">
        <v>1950</v>
      </c>
      <c r="F75" s="32">
        <v>0.15</v>
      </c>
    </row>
    <row r="76" spans="1:6" ht="15.75" hidden="1" thickTop="1" x14ac:dyDescent="0.25">
      <c r="A76" t="str">
        <f t="shared" si="1"/>
        <v>62B43223</v>
      </c>
      <c r="B76" t="s">
        <v>200</v>
      </c>
      <c r="C76" s="7">
        <v>43223</v>
      </c>
      <c r="D76" s="10" t="s">
        <v>203</v>
      </c>
      <c r="E76" s="31">
        <v>1900</v>
      </c>
      <c r="F76" s="32">
        <v>0.1</v>
      </c>
    </row>
    <row r="77" spans="1:6" ht="15" hidden="1" customHeight="1" x14ac:dyDescent="0.25">
      <c r="A77" t="str">
        <f t="shared" si="1"/>
        <v>62B43291</v>
      </c>
      <c r="B77" t="s">
        <v>200</v>
      </c>
      <c r="C77" s="7">
        <v>43291</v>
      </c>
      <c r="D77" s="10" t="s">
        <v>204</v>
      </c>
      <c r="E77" s="31">
        <v>3340</v>
      </c>
      <c r="F77" s="32">
        <v>0.18</v>
      </c>
    </row>
    <row r="78" spans="1:6" ht="15.75" hidden="1" thickTop="1" x14ac:dyDescent="0.25">
      <c r="A78" t="str">
        <f t="shared" si="1"/>
        <v>62C43368</v>
      </c>
      <c r="B78" t="s">
        <v>205</v>
      </c>
      <c r="C78" s="7">
        <v>43368</v>
      </c>
      <c r="D78" s="10" t="s">
        <v>206</v>
      </c>
      <c r="E78" s="31">
        <v>2010</v>
      </c>
      <c r="F78" s="32">
        <v>0.15</v>
      </c>
    </row>
    <row r="79" spans="1:6" ht="15.75" hidden="1" thickTop="1" x14ac:dyDescent="0.25">
      <c r="A79" t="str">
        <f t="shared" si="1"/>
        <v>62C43235</v>
      </c>
      <c r="B79" t="s">
        <v>205</v>
      </c>
      <c r="C79" s="7">
        <v>43235</v>
      </c>
      <c r="D79" s="10" t="s">
        <v>207</v>
      </c>
      <c r="E79" s="31">
        <v>1730</v>
      </c>
      <c r="F79" s="32">
        <v>0.56999999999999995</v>
      </c>
    </row>
    <row r="80" spans="1:6" ht="15.75" hidden="1" thickTop="1" x14ac:dyDescent="0.25">
      <c r="A80" t="str">
        <f t="shared" si="1"/>
        <v>62C43223</v>
      </c>
      <c r="B80" t="s">
        <v>205</v>
      </c>
      <c r="C80" s="7">
        <v>43223</v>
      </c>
      <c r="D80" s="10" t="s">
        <v>208</v>
      </c>
      <c r="E80" s="31">
        <v>1580</v>
      </c>
      <c r="F80" s="32">
        <v>0.6</v>
      </c>
    </row>
    <row r="81" spans="1:6" ht="15.75" hidden="1" thickTop="1" x14ac:dyDescent="0.25">
      <c r="A81" t="str">
        <f t="shared" si="1"/>
        <v>62C43291</v>
      </c>
      <c r="B81" t="s">
        <v>205</v>
      </c>
      <c r="C81" s="7">
        <v>43291</v>
      </c>
      <c r="D81" s="10" t="s">
        <v>209</v>
      </c>
      <c r="E81" s="31">
        <v>2260</v>
      </c>
      <c r="F81" s="32">
        <v>0.28999999999999998</v>
      </c>
    </row>
    <row r="82" spans="1:6" ht="15.75" hidden="1" thickTop="1" x14ac:dyDescent="0.25">
      <c r="A82" t="str">
        <f t="shared" si="1"/>
        <v>62E43223</v>
      </c>
      <c r="B82" t="s">
        <v>210</v>
      </c>
      <c r="C82" s="7">
        <v>43223</v>
      </c>
      <c r="D82" s="10" t="s">
        <v>211</v>
      </c>
      <c r="E82" s="31">
        <v>2960</v>
      </c>
      <c r="F82" s="32">
        <v>0.6</v>
      </c>
    </row>
    <row r="83" spans="1:6" ht="15.75" hidden="1" thickTop="1" x14ac:dyDescent="0.25">
      <c r="A83" t="str">
        <f t="shared" si="1"/>
        <v>62E43368</v>
      </c>
      <c r="B83" t="s">
        <v>210</v>
      </c>
      <c r="C83" s="7">
        <v>43368</v>
      </c>
      <c r="D83" s="10" t="s">
        <v>212</v>
      </c>
      <c r="E83" s="31">
        <v>9200</v>
      </c>
      <c r="F83" s="32">
        <v>1.36</v>
      </c>
    </row>
    <row r="84" spans="1:6" ht="15.75" hidden="1" thickTop="1" x14ac:dyDescent="0.25">
      <c r="A84" t="str">
        <f t="shared" si="1"/>
        <v>62E43235</v>
      </c>
      <c r="B84" t="s">
        <v>210</v>
      </c>
      <c r="C84" s="7">
        <v>43235</v>
      </c>
      <c r="D84" s="10" t="s">
        <v>213</v>
      </c>
      <c r="E84" s="31">
        <v>3550</v>
      </c>
      <c r="F84" s="32">
        <v>0.69</v>
      </c>
    </row>
    <row r="85" spans="1:6" ht="15.75" hidden="1" thickTop="1" x14ac:dyDescent="0.25">
      <c r="A85" t="str">
        <f t="shared" si="1"/>
        <v>62E43297</v>
      </c>
      <c r="B85" t="s">
        <v>210</v>
      </c>
      <c r="C85" s="7">
        <v>43297</v>
      </c>
      <c r="D85" s="10" t="s">
        <v>214</v>
      </c>
      <c r="E85" s="31">
        <v>6400</v>
      </c>
      <c r="F85" s="32">
        <v>1.2</v>
      </c>
    </row>
    <row r="86" spans="1:6" ht="15.75" hidden="1" thickTop="1" x14ac:dyDescent="0.25">
      <c r="A86" t="str">
        <f t="shared" si="1"/>
        <v>66A43367</v>
      </c>
      <c r="B86" t="s">
        <v>215</v>
      </c>
      <c r="C86" s="7">
        <v>43367</v>
      </c>
      <c r="D86" s="10" t="s">
        <v>216</v>
      </c>
      <c r="E86" s="31">
        <v>2950</v>
      </c>
      <c r="F86" s="32">
        <v>0.08</v>
      </c>
    </row>
    <row r="87" spans="1:6" ht="15.75" hidden="1" thickTop="1" x14ac:dyDescent="0.25">
      <c r="A87" t="str">
        <f t="shared" si="1"/>
        <v>66A43234</v>
      </c>
      <c r="B87" t="s">
        <v>215</v>
      </c>
      <c r="C87" s="7">
        <v>43234</v>
      </c>
      <c r="D87" s="10" t="s">
        <v>217</v>
      </c>
      <c r="E87" s="31">
        <v>1090</v>
      </c>
      <c r="F87" s="32">
        <v>0.1</v>
      </c>
    </row>
    <row r="88" spans="1:6" ht="15.75" hidden="1" thickTop="1" x14ac:dyDescent="0.25">
      <c r="A88" t="str">
        <f t="shared" si="1"/>
        <v>66A43321</v>
      </c>
      <c r="B88" t="s">
        <v>215</v>
      </c>
      <c r="C88" s="7">
        <v>43321</v>
      </c>
      <c r="D88" s="10" t="s">
        <v>218</v>
      </c>
      <c r="E88" s="31">
        <v>2370</v>
      </c>
      <c r="F88" s="32">
        <v>0.04</v>
      </c>
    </row>
    <row r="89" spans="1:6" ht="15.75" hidden="1" thickTop="1" x14ac:dyDescent="0.25">
      <c r="A89" t="str">
        <f t="shared" si="1"/>
        <v>66A43217</v>
      </c>
      <c r="B89" t="s">
        <v>215</v>
      </c>
      <c r="C89" s="7">
        <v>43217</v>
      </c>
      <c r="D89" s="10" t="s">
        <v>219</v>
      </c>
      <c r="E89" s="31">
        <v>1290</v>
      </c>
      <c r="F89" s="32">
        <v>0.35</v>
      </c>
    </row>
    <row r="90" spans="1:6" ht="15.75" hidden="1" thickTop="1" x14ac:dyDescent="0.25">
      <c r="A90" t="str">
        <f t="shared" si="1"/>
        <v>66A43263</v>
      </c>
      <c r="B90" t="s">
        <v>215</v>
      </c>
      <c r="C90" s="7">
        <v>43263</v>
      </c>
      <c r="D90" s="10" t="s">
        <v>220</v>
      </c>
      <c r="E90" s="31">
        <v>2100</v>
      </c>
      <c r="F90" s="32">
        <v>0.16</v>
      </c>
    </row>
    <row r="91" spans="1:6" ht="15.75" hidden="1" thickTop="1" x14ac:dyDescent="0.25">
      <c r="A91" t="str">
        <f t="shared" si="1"/>
        <v>66A43290</v>
      </c>
      <c r="B91" t="s">
        <v>215</v>
      </c>
      <c r="C91" s="7">
        <v>43290</v>
      </c>
      <c r="D91" s="10" t="s">
        <v>221</v>
      </c>
      <c r="E91" s="31">
        <v>2500</v>
      </c>
      <c r="F91" s="32">
        <v>0.06</v>
      </c>
    </row>
    <row r="92" spans="1:6" ht="15.75" hidden="1" thickTop="1" x14ac:dyDescent="0.25">
      <c r="A92" t="str">
        <f t="shared" si="1"/>
        <v>66B43217</v>
      </c>
      <c r="B92" t="s">
        <v>222</v>
      </c>
      <c r="C92" s="7">
        <v>43217</v>
      </c>
      <c r="D92" s="10" t="s">
        <v>223</v>
      </c>
      <c r="E92" s="31">
        <v>1610</v>
      </c>
      <c r="F92" s="32">
        <v>0.05</v>
      </c>
    </row>
    <row r="93" spans="1:6" ht="15.75" hidden="1" thickTop="1" x14ac:dyDescent="0.25">
      <c r="A93" t="str">
        <f t="shared" si="1"/>
        <v>66B43367</v>
      </c>
      <c r="B93" t="s">
        <v>222</v>
      </c>
      <c r="C93" s="7">
        <v>43367</v>
      </c>
      <c r="D93" s="10" t="s">
        <v>224</v>
      </c>
      <c r="E93" s="31">
        <v>2340</v>
      </c>
      <c r="F93" s="32">
        <v>0.04</v>
      </c>
    </row>
    <row r="94" spans="1:6" ht="15.75" hidden="1" thickTop="1" x14ac:dyDescent="0.25">
      <c r="A94" t="str">
        <f t="shared" si="1"/>
        <v>66B43234</v>
      </c>
      <c r="B94" t="s">
        <v>222</v>
      </c>
      <c r="C94" s="7">
        <v>43234</v>
      </c>
      <c r="D94" s="10" t="s">
        <v>225</v>
      </c>
      <c r="E94" s="31">
        <v>1860</v>
      </c>
      <c r="F94" s="32">
        <v>0.04</v>
      </c>
    </row>
    <row r="95" spans="1:6" ht="15.75" hidden="1" thickTop="1" x14ac:dyDescent="0.25">
      <c r="A95" t="str">
        <f t="shared" si="1"/>
        <v>66B43290</v>
      </c>
      <c r="B95" t="s">
        <v>222</v>
      </c>
      <c r="C95" s="7">
        <v>43290</v>
      </c>
      <c r="D95" s="10" t="s">
        <v>226</v>
      </c>
      <c r="E95" s="31">
        <v>2070</v>
      </c>
      <c r="F95" s="32">
        <v>0.03</v>
      </c>
    </row>
    <row r="96" spans="1:6" ht="15.75" hidden="1" thickTop="1" x14ac:dyDescent="0.25">
      <c r="A96" t="str">
        <f t="shared" si="1"/>
        <v>66C43217</v>
      </c>
      <c r="B96" t="s">
        <v>227</v>
      </c>
      <c r="C96" s="7">
        <v>43217</v>
      </c>
      <c r="D96" s="10" t="s">
        <v>228</v>
      </c>
      <c r="E96" s="31">
        <v>1380</v>
      </c>
      <c r="F96" s="32">
        <v>0.28999999999999998</v>
      </c>
    </row>
    <row r="97" spans="1:6" ht="15.75" hidden="1" thickTop="1" x14ac:dyDescent="0.25">
      <c r="A97" t="str">
        <f t="shared" si="1"/>
        <v>66C43321</v>
      </c>
      <c r="B97" t="s">
        <v>227</v>
      </c>
      <c r="C97" s="7">
        <v>43321</v>
      </c>
      <c r="D97" s="10" t="s">
        <v>229</v>
      </c>
      <c r="E97" s="31">
        <v>1410</v>
      </c>
      <c r="F97" s="32">
        <v>0.04</v>
      </c>
    </row>
    <row r="98" spans="1:6" ht="15.75" hidden="1" thickTop="1" x14ac:dyDescent="0.25">
      <c r="A98" t="str">
        <f t="shared" si="1"/>
        <v>66C43367</v>
      </c>
      <c r="B98" t="s">
        <v>227</v>
      </c>
      <c r="C98" s="7">
        <v>43367</v>
      </c>
      <c r="D98" s="10" t="s">
        <v>230</v>
      </c>
      <c r="E98" s="31">
        <v>1470</v>
      </c>
      <c r="F98" s="32">
        <v>0.05</v>
      </c>
    </row>
    <row r="99" spans="1:6" ht="15.75" hidden="1" thickTop="1" x14ac:dyDescent="0.25">
      <c r="A99" t="str">
        <f t="shared" si="1"/>
        <v>66C43263</v>
      </c>
      <c r="B99" t="s">
        <v>227</v>
      </c>
      <c r="C99" s="7">
        <v>43263</v>
      </c>
      <c r="D99" s="10" t="s">
        <v>231</v>
      </c>
      <c r="E99" s="31">
        <v>1150</v>
      </c>
      <c r="F99" s="32">
        <v>7.0000000000000007E-2</v>
      </c>
    </row>
    <row r="100" spans="1:6" ht="15.75" hidden="1" thickTop="1" x14ac:dyDescent="0.25">
      <c r="A100" t="str">
        <f t="shared" si="1"/>
        <v>66C43234</v>
      </c>
      <c r="B100" t="s">
        <v>227</v>
      </c>
      <c r="C100" s="7">
        <v>43234</v>
      </c>
      <c r="D100" s="10" t="s">
        <v>232</v>
      </c>
      <c r="E100" s="31">
        <v>1210</v>
      </c>
      <c r="F100" s="32">
        <v>0.19</v>
      </c>
    </row>
    <row r="101" spans="1:6" ht="15.75" hidden="1" thickTop="1" x14ac:dyDescent="0.25">
      <c r="A101" t="str">
        <f t="shared" si="1"/>
        <v>66C43290</v>
      </c>
      <c r="B101" t="s">
        <v>227</v>
      </c>
      <c r="C101" s="7">
        <v>43290</v>
      </c>
      <c r="D101" s="10" t="s">
        <v>233</v>
      </c>
      <c r="E101" s="31">
        <v>1260</v>
      </c>
      <c r="F101" s="32">
        <v>0.03</v>
      </c>
    </row>
    <row r="102" spans="1:6" ht="15.75" hidden="1" thickTop="1" x14ac:dyDescent="0.25">
      <c r="A102" t="str">
        <f t="shared" si="1"/>
        <v>P143325</v>
      </c>
      <c r="B102" t="s">
        <v>234</v>
      </c>
      <c r="C102" s="7">
        <v>43325</v>
      </c>
      <c r="D102" s="1" t="s">
        <v>234</v>
      </c>
      <c r="E102" s="31">
        <v>2430</v>
      </c>
      <c r="F102" s="32">
        <v>7.0000000000000007E-2</v>
      </c>
    </row>
    <row r="103" spans="1:6" ht="15.75" hidden="1" thickTop="1" x14ac:dyDescent="0.25">
      <c r="A103" t="str">
        <f t="shared" si="1"/>
        <v>P10343326</v>
      </c>
      <c r="B103" t="s">
        <v>235</v>
      </c>
      <c r="C103" s="7">
        <v>43326</v>
      </c>
      <c r="D103" s="1" t="s">
        <v>235</v>
      </c>
      <c r="E103" s="31">
        <v>3720</v>
      </c>
      <c r="F103" s="32">
        <v>2.23</v>
      </c>
    </row>
    <row r="104" spans="1:6" ht="15.75" hidden="1" thickTop="1" x14ac:dyDescent="0.25">
      <c r="A104" t="str">
        <f t="shared" si="1"/>
        <v>P10943326</v>
      </c>
      <c r="B104" t="s">
        <v>236</v>
      </c>
      <c r="C104" s="7">
        <v>43326</v>
      </c>
      <c r="D104" s="1" t="s">
        <v>236</v>
      </c>
      <c r="E104" s="31">
        <v>3200</v>
      </c>
      <c r="F104" s="32">
        <v>1.19</v>
      </c>
    </row>
    <row r="105" spans="1:6" ht="15.75" hidden="1" thickTop="1" x14ac:dyDescent="0.25">
      <c r="A105" t="str">
        <f t="shared" si="1"/>
        <v>P11843326</v>
      </c>
      <c r="B105" t="s">
        <v>237</v>
      </c>
      <c r="C105" s="7">
        <v>43326</v>
      </c>
      <c r="D105" s="1" t="s">
        <v>237</v>
      </c>
      <c r="E105" s="31">
        <v>3790</v>
      </c>
      <c r="F105" s="32">
        <v>4.34</v>
      </c>
    </row>
    <row r="106" spans="1:6" ht="15.75" hidden="1" thickTop="1" x14ac:dyDescent="0.25">
      <c r="A106" t="str">
        <f t="shared" si="1"/>
        <v>P12043326</v>
      </c>
      <c r="B106" t="s">
        <v>238</v>
      </c>
      <c r="C106" s="7">
        <v>43326</v>
      </c>
      <c r="D106" s="1" t="s">
        <v>238</v>
      </c>
      <c r="E106" s="31">
        <v>3110</v>
      </c>
      <c r="F106" s="32">
        <v>1.21</v>
      </c>
    </row>
    <row r="107" spans="1:6" ht="15.75" hidden="1" thickTop="1" x14ac:dyDescent="0.25">
      <c r="A107" t="str">
        <f t="shared" si="1"/>
        <v>P12443326</v>
      </c>
      <c r="B107" t="s">
        <v>239</v>
      </c>
      <c r="C107" s="7">
        <v>43326</v>
      </c>
      <c r="D107" s="1" t="s">
        <v>239</v>
      </c>
      <c r="E107" s="31">
        <v>3270</v>
      </c>
      <c r="F107" s="32">
        <v>0.09</v>
      </c>
    </row>
    <row r="108" spans="1:6" ht="15.75" hidden="1" thickTop="1" x14ac:dyDescent="0.25">
      <c r="A108" t="str">
        <f t="shared" si="1"/>
        <v>P12543325</v>
      </c>
      <c r="B108" t="s">
        <v>240</v>
      </c>
      <c r="C108" s="7">
        <v>43325</v>
      </c>
      <c r="D108" s="1" t="s">
        <v>240</v>
      </c>
      <c r="E108" s="31">
        <v>3090</v>
      </c>
      <c r="F108" s="32">
        <v>0.05</v>
      </c>
    </row>
    <row r="109" spans="1:6" ht="15.75" hidden="1" thickTop="1" x14ac:dyDescent="0.25">
      <c r="A109" t="str">
        <f t="shared" si="1"/>
        <v>P2043329</v>
      </c>
      <c r="B109" t="s">
        <v>241</v>
      </c>
      <c r="C109" s="7">
        <v>43329</v>
      </c>
      <c r="D109" s="1" t="s">
        <v>241</v>
      </c>
      <c r="E109" s="31">
        <v>2920</v>
      </c>
      <c r="F109" s="32">
        <v>0.1</v>
      </c>
    </row>
    <row r="110" spans="1:6" ht="15.75" hidden="1" thickTop="1" x14ac:dyDescent="0.25">
      <c r="A110" t="str">
        <f t="shared" si="1"/>
        <v>P2643329</v>
      </c>
      <c r="B110" t="s">
        <v>242</v>
      </c>
      <c r="C110" s="7">
        <v>43329</v>
      </c>
      <c r="D110" s="1" t="s">
        <v>242</v>
      </c>
      <c r="E110" s="31">
        <v>5810</v>
      </c>
      <c r="F110" s="32">
        <v>0.09</v>
      </c>
    </row>
    <row r="111" spans="1:6" ht="15.75" hidden="1" thickTop="1" x14ac:dyDescent="0.25">
      <c r="A111" t="str">
        <f t="shared" si="1"/>
        <v>P3543328</v>
      </c>
      <c r="B111" t="s">
        <v>243</v>
      </c>
      <c r="C111" s="7">
        <v>43328</v>
      </c>
      <c r="D111" s="1" t="s">
        <v>243</v>
      </c>
      <c r="E111" s="31">
        <v>5300</v>
      </c>
      <c r="F111" s="32">
        <v>0.74</v>
      </c>
    </row>
    <row r="112" spans="1:6" ht="15.75" hidden="1" thickTop="1" x14ac:dyDescent="0.25">
      <c r="A112" t="str">
        <f t="shared" si="1"/>
        <v>P3743328</v>
      </c>
      <c r="B112" t="s">
        <v>244</v>
      </c>
      <c r="C112" s="7">
        <v>43328</v>
      </c>
      <c r="D112" s="10" t="s">
        <v>244</v>
      </c>
      <c r="E112" s="31">
        <v>619.69000000000005</v>
      </c>
      <c r="F112" s="32">
        <v>0.13</v>
      </c>
    </row>
    <row r="113" spans="1:6" ht="15.75" thickTop="1" x14ac:dyDescent="0.25">
      <c r="A113" t="str">
        <f t="shared" si="1"/>
        <v>P5043325</v>
      </c>
      <c r="B113" t="s">
        <v>245</v>
      </c>
      <c r="C113" s="7">
        <v>43325</v>
      </c>
      <c r="D113" s="1" t="s">
        <v>245</v>
      </c>
      <c r="E113" s="31">
        <v>3480</v>
      </c>
      <c r="F113" s="32">
        <v>0.06</v>
      </c>
    </row>
    <row r="114" spans="1:6" hidden="1" x14ac:dyDescent="0.25">
      <c r="A114" t="str">
        <f t="shared" si="1"/>
        <v>P6643327</v>
      </c>
      <c r="B114" t="s">
        <v>246</v>
      </c>
      <c r="C114" s="7">
        <v>43327</v>
      </c>
      <c r="D114" s="1" t="s">
        <v>246</v>
      </c>
      <c r="E114" s="31">
        <v>4830</v>
      </c>
      <c r="F114" s="32">
        <v>0.16</v>
      </c>
    </row>
    <row r="115" spans="1:6" hidden="1" x14ac:dyDescent="0.25">
      <c r="A115" t="str">
        <f t="shared" si="1"/>
        <v>P6743329</v>
      </c>
      <c r="B115" t="s">
        <v>247</v>
      </c>
      <c r="C115" s="7">
        <v>43329</v>
      </c>
      <c r="D115" s="1" t="s">
        <v>247</v>
      </c>
      <c r="E115" s="31">
        <v>4480</v>
      </c>
      <c r="F115" s="32">
        <v>0.11</v>
      </c>
    </row>
    <row r="116" spans="1:6" hidden="1" x14ac:dyDescent="0.25">
      <c r="A116" t="str">
        <f t="shared" si="1"/>
        <v>P7043327</v>
      </c>
      <c r="B116" t="s">
        <v>248</v>
      </c>
      <c r="C116" s="7">
        <v>43327</v>
      </c>
      <c r="D116" s="1" t="s">
        <v>248</v>
      </c>
      <c r="E116" s="31">
        <v>5000</v>
      </c>
      <c r="F116" s="32">
        <v>0.2</v>
      </c>
    </row>
    <row r="117" spans="1:6" hidden="1" x14ac:dyDescent="0.25">
      <c r="A117" t="str">
        <f t="shared" si="1"/>
        <v>P7543327</v>
      </c>
      <c r="B117" t="s">
        <v>249</v>
      </c>
      <c r="C117" s="7">
        <v>43327</v>
      </c>
      <c r="D117" s="10" t="s">
        <v>249</v>
      </c>
      <c r="E117" s="31">
        <v>3290</v>
      </c>
      <c r="F117" s="32">
        <v>0.46</v>
      </c>
    </row>
    <row r="118" spans="1:6" hidden="1" x14ac:dyDescent="0.25">
      <c r="A118" t="str">
        <f t="shared" si="1"/>
        <v>P8843327</v>
      </c>
      <c r="B118" t="s">
        <v>250</v>
      </c>
      <c r="C118" s="7">
        <v>43327</v>
      </c>
      <c r="D118" s="1" t="s">
        <v>250</v>
      </c>
      <c r="E118" s="31">
        <v>2800</v>
      </c>
      <c r="F118" s="32">
        <v>1.19</v>
      </c>
    </row>
    <row r="119" spans="1:6" hidden="1" x14ac:dyDescent="0.25">
      <c r="A119" t="str">
        <f t="shared" si="1"/>
        <v>P9043329</v>
      </c>
      <c r="B119" t="s">
        <v>251</v>
      </c>
      <c r="C119" s="7">
        <v>43329</v>
      </c>
      <c r="D119" s="1" t="s">
        <v>251</v>
      </c>
      <c r="E119" s="31">
        <v>2790</v>
      </c>
      <c r="F119" s="32">
        <v>0.09</v>
      </c>
    </row>
    <row r="120" spans="1:6" hidden="1" x14ac:dyDescent="0.25">
      <c r="A120" t="str">
        <f t="shared" si="1"/>
        <v>P9743328</v>
      </c>
      <c r="B120" t="s">
        <v>252</v>
      </c>
      <c r="C120" s="7">
        <v>43328</v>
      </c>
      <c r="D120" s="1" t="s">
        <v>252</v>
      </c>
      <c r="E120" s="31">
        <v>2920</v>
      </c>
      <c r="F120" s="32">
        <v>0.43</v>
      </c>
    </row>
    <row r="121" spans="1:6" hidden="1" x14ac:dyDescent="0.25">
      <c r="A121" t="str">
        <f t="shared" si="1"/>
        <v>P9843328</v>
      </c>
      <c r="B121" t="s">
        <v>253</v>
      </c>
      <c r="C121" s="7">
        <v>43328</v>
      </c>
      <c r="D121" s="1" t="s">
        <v>253</v>
      </c>
      <c r="E121" s="31">
        <v>3170</v>
      </c>
      <c r="F121" s="32">
        <v>0.44</v>
      </c>
    </row>
  </sheetData>
  <autoFilter ref="A1:F121" xr:uid="{296242A7-6788-43DF-8878-EC85677723FC}">
    <filterColumn colId="1">
      <filters>
        <filter val="P50"/>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26DB4-7FC0-4AC8-B793-B18A348B73C0}">
  <dimension ref="A1:F121"/>
  <sheetViews>
    <sheetView workbookViewId="0">
      <selection activeCell="C122" sqref="C122"/>
    </sheetView>
  </sheetViews>
  <sheetFormatPr defaultColWidth="8.85546875" defaultRowHeight="15" x14ac:dyDescent="0.25"/>
  <cols>
    <col min="3" max="3" width="10.140625" bestFit="1" customWidth="1"/>
    <col min="4" max="4" width="26.7109375" customWidth="1"/>
    <col min="5" max="5" width="10.7109375" customWidth="1"/>
    <col min="6" max="6" width="14.7109375" customWidth="1"/>
  </cols>
  <sheetData>
    <row r="1" spans="1:6" ht="15.75" thickBot="1" x14ac:dyDescent="0.3">
      <c r="A1" s="33" t="s">
        <v>2</v>
      </c>
      <c r="B1" s="33" t="s">
        <v>0</v>
      </c>
      <c r="C1" s="33" t="s">
        <v>3</v>
      </c>
      <c r="D1" s="33" t="s">
        <v>109</v>
      </c>
      <c r="E1" s="33" t="s">
        <v>258</v>
      </c>
      <c r="F1" s="33" t="s">
        <v>259</v>
      </c>
    </row>
    <row r="2" spans="1:6" ht="15.75" thickTop="1" x14ac:dyDescent="0.25">
      <c r="A2" t="str">
        <f>B2&amp;C2</f>
        <v>2343370</v>
      </c>
      <c r="B2">
        <v>23</v>
      </c>
      <c r="C2" s="7">
        <v>43370</v>
      </c>
      <c r="D2" t="s">
        <v>260</v>
      </c>
      <c r="E2" t="s">
        <v>261</v>
      </c>
      <c r="F2">
        <v>24.57</v>
      </c>
    </row>
    <row r="3" spans="1:6" x14ac:dyDescent="0.25">
      <c r="A3" t="str">
        <f t="shared" ref="A3:A66" si="0">B3&amp;C3</f>
        <v>2343321</v>
      </c>
      <c r="B3">
        <v>23</v>
      </c>
      <c r="C3" s="7">
        <v>43321</v>
      </c>
      <c r="D3" t="s">
        <v>262</v>
      </c>
      <c r="E3" t="s">
        <v>261</v>
      </c>
      <c r="F3">
        <v>13.659000000000001</v>
      </c>
    </row>
    <row r="4" spans="1:6" x14ac:dyDescent="0.25">
      <c r="A4" t="str">
        <f t="shared" si="0"/>
        <v>2343237</v>
      </c>
      <c r="B4">
        <v>23</v>
      </c>
      <c r="C4" s="7">
        <v>43237</v>
      </c>
      <c r="D4" t="s">
        <v>263</v>
      </c>
      <c r="E4" t="s">
        <v>261</v>
      </c>
      <c r="F4">
        <v>21.190999999999999</v>
      </c>
    </row>
    <row r="5" spans="1:6" x14ac:dyDescent="0.25">
      <c r="A5" t="str">
        <f t="shared" si="0"/>
        <v>2343293</v>
      </c>
      <c r="B5">
        <v>23</v>
      </c>
      <c r="C5" s="7">
        <v>43293</v>
      </c>
      <c r="D5" t="s">
        <v>264</v>
      </c>
      <c r="E5" t="s">
        <v>261</v>
      </c>
      <c r="F5">
        <v>15.851000000000001</v>
      </c>
    </row>
    <row r="6" spans="1:6" x14ac:dyDescent="0.25">
      <c r="A6" t="str">
        <f t="shared" si="0"/>
        <v>2343262</v>
      </c>
      <c r="B6">
        <v>23</v>
      </c>
      <c r="C6" s="7">
        <v>43262</v>
      </c>
      <c r="D6" t="s">
        <v>265</v>
      </c>
      <c r="E6" t="s">
        <v>261</v>
      </c>
      <c r="F6">
        <v>24.917999999999999</v>
      </c>
    </row>
    <row r="7" spans="1:6" x14ac:dyDescent="0.25">
      <c r="A7" t="str">
        <f t="shared" si="0"/>
        <v>6843294</v>
      </c>
      <c r="B7">
        <v>68</v>
      </c>
      <c r="C7" s="7">
        <v>43294</v>
      </c>
      <c r="D7" t="s">
        <v>266</v>
      </c>
      <c r="E7" t="s">
        <v>261</v>
      </c>
      <c r="F7">
        <v>30.242999999999999</v>
      </c>
    </row>
    <row r="8" spans="1:6" x14ac:dyDescent="0.25">
      <c r="A8" t="str">
        <f t="shared" si="0"/>
        <v>6843238</v>
      </c>
      <c r="B8">
        <v>68</v>
      </c>
      <c r="C8" s="7">
        <v>43238</v>
      </c>
      <c r="D8" t="s">
        <v>267</v>
      </c>
      <c r="E8" t="s">
        <v>261</v>
      </c>
      <c r="F8">
        <v>34.085000000000001</v>
      </c>
    </row>
    <row r="9" spans="1:6" x14ac:dyDescent="0.25">
      <c r="A9" t="str">
        <f t="shared" si="0"/>
        <v>6843216</v>
      </c>
      <c r="B9">
        <v>68</v>
      </c>
      <c r="C9" s="7">
        <v>43216</v>
      </c>
      <c r="D9" t="s">
        <v>268</v>
      </c>
      <c r="E9" t="s">
        <v>261</v>
      </c>
      <c r="F9">
        <v>31.268999999999998</v>
      </c>
    </row>
    <row r="10" spans="1:6" x14ac:dyDescent="0.25">
      <c r="A10" t="str">
        <f t="shared" si="0"/>
        <v>14A43371</v>
      </c>
      <c r="B10" t="s">
        <v>121</v>
      </c>
      <c r="C10" s="7">
        <v>43371</v>
      </c>
      <c r="D10" t="s">
        <v>269</v>
      </c>
      <c r="E10" t="s">
        <v>261</v>
      </c>
      <c r="F10">
        <v>99.941999999999993</v>
      </c>
    </row>
    <row r="11" spans="1:6" x14ac:dyDescent="0.25">
      <c r="A11" t="str">
        <f t="shared" si="0"/>
        <v>14A43238</v>
      </c>
      <c r="B11" t="s">
        <v>121</v>
      </c>
      <c r="C11" s="7">
        <v>43238</v>
      </c>
      <c r="D11" t="s">
        <v>270</v>
      </c>
      <c r="E11" t="s">
        <v>261</v>
      </c>
      <c r="F11">
        <v>56.927999999999997</v>
      </c>
    </row>
    <row r="12" spans="1:6" x14ac:dyDescent="0.25">
      <c r="A12" t="str">
        <f t="shared" si="0"/>
        <v>14A43294</v>
      </c>
      <c r="B12" t="s">
        <v>121</v>
      </c>
      <c r="C12" s="7">
        <v>43294</v>
      </c>
      <c r="D12" t="s">
        <v>271</v>
      </c>
      <c r="E12" t="s">
        <v>261</v>
      </c>
      <c r="F12">
        <v>96.087999999999994</v>
      </c>
    </row>
    <row r="13" spans="1:6" x14ac:dyDescent="0.25">
      <c r="A13" t="str">
        <f t="shared" si="0"/>
        <v>14A43216</v>
      </c>
      <c r="B13" t="s">
        <v>121</v>
      </c>
      <c r="C13" s="7">
        <v>43216</v>
      </c>
      <c r="D13" t="s">
        <v>272</v>
      </c>
      <c r="E13" t="s">
        <v>261</v>
      </c>
      <c r="F13">
        <v>28.434999999999999</v>
      </c>
    </row>
    <row r="14" spans="1:6" x14ac:dyDescent="0.25">
      <c r="A14" t="str">
        <f t="shared" si="0"/>
        <v>14A0 Hr</v>
      </c>
      <c r="B14" t="s">
        <v>121</v>
      </c>
      <c r="C14" t="s">
        <v>126</v>
      </c>
      <c r="D14" t="s">
        <v>273</v>
      </c>
      <c r="E14" t="s">
        <v>261</v>
      </c>
      <c r="F14">
        <v>98.144999999999996</v>
      </c>
    </row>
    <row r="15" spans="1:6" x14ac:dyDescent="0.25">
      <c r="A15" t="str">
        <f t="shared" si="0"/>
        <v>14A12 Hr</v>
      </c>
      <c r="B15" t="s">
        <v>121</v>
      </c>
      <c r="C15" t="s">
        <v>128</v>
      </c>
      <c r="D15" t="s">
        <v>274</v>
      </c>
      <c r="E15" t="s">
        <v>261</v>
      </c>
      <c r="F15">
        <v>95.093999999999994</v>
      </c>
    </row>
    <row r="16" spans="1:6" x14ac:dyDescent="0.25">
      <c r="A16" t="str">
        <f t="shared" si="0"/>
        <v>14A24 Hr</v>
      </c>
      <c r="B16" t="s">
        <v>121</v>
      </c>
      <c r="C16" t="s">
        <v>130</v>
      </c>
      <c r="D16" t="s">
        <v>275</v>
      </c>
      <c r="E16" t="s">
        <v>261</v>
      </c>
      <c r="F16">
        <v>106.23699999999999</v>
      </c>
    </row>
    <row r="17" spans="1:6" x14ac:dyDescent="0.25">
      <c r="A17" t="str">
        <f t="shared" si="0"/>
        <v>14B43371</v>
      </c>
      <c r="B17" t="s">
        <v>132</v>
      </c>
      <c r="C17" s="7">
        <v>43371</v>
      </c>
      <c r="D17" t="s">
        <v>276</v>
      </c>
      <c r="E17" t="s">
        <v>261</v>
      </c>
      <c r="F17">
        <v>39.222000000000001</v>
      </c>
    </row>
    <row r="18" spans="1:6" x14ac:dyDescent="0.25">
      <c r="A18" t="str">
        <f t="shared" si="0"/>
        <v>14B43238</v>
      </c>
      <c r="B18" t="s">
        <v>132</v>
      </c>
      <c r="C18" s="7">
        <v>43238</v>
      </c>
      <c r="D18" t="s">
        <v>277</v>
      </c>
      <c r="E18" t="s">
        <v>261</v>
      </c>
      <c r="F18">
        <v>41.530999999999999</v>
      </c>
    </row>
    <row r="19" spans="1:6" x14ac:dyDescent="0.25">
      <c r="A19" t="str">
        <f t="shared" si="0"/>
        <v>14B43294</v>
      </c>
      <c r="B19" t="s">
        <v>132</v>
      </c>
      <c r="C19" s="7">
        <v>43294</v>
      </c>
      <c r="D19" t="s">
        <v>278</v>
      </c>
      <c r="E19" t="s">
        <v>261</v>
      </c>
      <c r="F19">
        <v>41.572000000000003</v>
      </c>
    </row>
    <row r="20" spans="1:6" x14ac:dyDescent="0.25">
      <c r="A20" t="str">
        <f t="shared" si="0"/>
        <v>14B43216</v>
      </c>
      <c r="B20" t="s">
        <v>132</v>
      </c>
      <c r="C20" s="7">
        <v>43216</v>
      </c>
      <c r="D20" t="s">
        <v>279</v>
      </c>
      <c r="E20" t="s">
        <v>261</v>
      </c>
      <c r="F20">
        <v>30.245000000000001</v>
      </c>
    </row>
    <row r="21" spans="1:6" x14ac:dyDescent="0.25">
      <c r="A21" t="str">
        <f t="shared" si="0"/>
        <v>230 Hr</v>
      </c>
      <c r="B21">
        <v>23</v>
      </c>
      <c r="C21" t="s">
        <v>126</v>
      </c>
      <c r="D21" t="s">
        <v>280</v>
      </c>
      <c r="E21" t="s">
        <v>261</v>
      </c>
      <c r="F21">
        <v>15.234</v>
      </c>
    </row>
    <row r="22" spans="1:6" x14ac:dyDescent="0.25">
      <c r="A22" t="str">
        <f t="shared" si="0"/>
        <v>2312 Hr</v>
      </c>
      <c r="B22">
        <v>23</v>
      </c>
      <c r="C22" t="s">
        <v>128</v>
      </c>
      <c r="D22" t="s">
        <v>281</v>
      </c>
      <c r="E22" t="s">
        <v>261</v>
      </c>
      <c r="F22">
        <v>17.542999999999999</v>
      </c>
    </row>
    <row r="23" spans="1:6" x14ac:dyDescent="0.25">
      <c r="A23" t="str">
        <f t="shared" si="0"/>
        <v>2324 Hr</v>
      </c>
      <c r="B23">
        <v>23</v>
      </c>
      <c r="C23" t="s">
        <v>130</v>
      </c>
      <c r="D23" t="s">
        <v>282</v>
      </c>
      <c r="E23" t="s">
        <v>261</v>
      </c>
      <c r="F23">
        <v>16.061</v>
      </c>
    </row>
    <row r="24" spans="1:6" x14ac:dyDescent="0.25">
      <c r="A24" t="str">
        <f t="shared" si="0"/>
        <v>32A43370</v>
      </c>
      <c r="B24" t="s">
        <v>140</v>
      </c>
      <c r="C24" s="7">
        <v>43370</v>
      </c>
      <c r="D24" t="s">
        <v>283</v>
      </c>
      <c r="E24" t="s">
        <v>261</v>
      </c>
      <c r="F24">
        <v>77.766999999999996</v>
      </c>
    </row>
    <row r="25" spans="1:6" x14ac:dyDescent="0.25">
      <c r="A25" t="str">
        <f t="shared" si="0"/>
        <v>32A43221</v>
      </c>
      <c r="B25" t="s">
        <v>140</v>
      </c>
      <c r="C25" s="7">
        <v>43221</v>
      </c>
      <c r="D25" t="s">
        <v>284</v>
      </c>
      <c r="E25" t="s">
        <v>261</v>
      </c>
      <c r="F25">
        <v>41.662999999999997</v>
      </c>
    </row>
    <row r="26" spans="1:6" x14ac:dyDescent="0.25">
      <c r="A26" t="str">
        <f t="shared" si="0"/>
        <v>32A43293</v>
      </c>
      <c r="B26" t="s">
        <v>140</v>
      </c>
      <c r="C26" s="7">
        <v>43293</v>
      </c>
      <c r="D26" t="s">
        <v>285</v>
      </c>
      <c r="E26" t="s">
        <v>261</v>
      </c>
      <c r="F26">
        <v>63.357999999999997</v>
      </c>
    </row>
    <row r="27" spans="1:6" x14ac:dyDescent="0.25">
      <c r="A27" t="str">
        <f t="shared" si="0"/>
        <v>32A43243</v>
      </c>
      <c r="B27" t="s">
        <v>140</v>
      </c>
      <c r="C27" s="7">
        <v>43243</v>
      </c>
      <c r="D27" t="s">
        <v>286</v>
      </c>
      <c r="E27" t="s">
        <v>261</v>
      </c>
      <c r="F27">
        <v>52.526000000000003</v>
      </c>
    </row>
    <row r="28" spans="1:6" x14ac:dyDescent="0.25">
      <c r="A28" t="str">
        <f t="shared" si="0"/>
        <v>32B43370</v>
      </c>
      <c r="B28" t="s">
        <v>145</v>
      </c>
      <c r="C28" s="7">
        <v>43370</v>
      </c>
      <c r="D28" t="s">
        <v>287</v>
      </c>
      <c r="E28" t="s">
        <v>261</v>
      </c>
      <c r="F28">
        <v>55.542999999999999</v>
      </c>
    </row>
    <row r="29" spans="1:6" x14ac:dyDescent="0.25">
      <c r="A29" t="str">
        <f t="shared" si="0"/>
        <v>32B43221</v>
      </c>
      <c r="B29" t="s">
        <v>145</v>
      </c>
      <c r="C29" s="7">
        <v>43221</v>
      </c>
      <c r="D29" t="s">
        <v>288</v>
      </c>
      <c r="E29" t="s">
        <v>261</v>
      </c>
      <c r="F29">
        <v>40.771999999999998</v>
      </c>
    </row>
    <row r="30" spans="1:6" x14ac:dyDescent="0.25">
      <c r="A30" t="str">
        <f t="shared" si="0"/>
        <v>32B43243</v>
      </c>
      <c r="B30" t="s">
        <v>145</v>
      </c>
      <c r="C30" s="7">
        <v>43243</v>
      </c>
      <c r="D30" t="s">
        <v>289</v>
      </c>
      <c r="E30" t="s">
        <v>261</v>
      </c>
      <c r="F30">
        <v>52.508000000000003</v>
      </c>
    </row>
    <row r="31" spans="1:6" x14ac:dyDescent="0.25">
      <c r="A31" t="str">
        <f t="shared" si="0"/>
        <v>32B43293</v>
      </c>
      <c r="B31" t="s">
        <v>145</v>
      </c>
      <c r="C31" s="7">
        <v>43293</v>
      </c>
      <c r="D31" t="s">
        <v>290</v>
      </c>
      <c r="E31" t="s">
        <v>261</v>
      </c>
      <c r="F31">
        <v>50.302999999999997</v>
      </c>
    </row>
    <row r="32" spans="1:6" x14ac:dyDescent="0.25">
      <c r="A32" t="str">
        <f t="shared" si="0"/>
        <v>32C43237</v>
      </c>
      <c r="B32" t="s">
        <v>150</v>
      </c>
      <c r="C32" s="7">
        <v>43237</v>
      </c>
      <c r="D32" t="s">
        <v>291</v>
      </c>
      <c r="E32" t="s">
        <v>261</v>
      </c>
      <c r="F32">
        <v>43.125999999999998</v>
      </c>
    </row>
    <row r="33" spans="1:6" x14ac:dyDescent="0.25">
      <c r="A33" t="str">
        <f t="shared" si="0"/>
        <v>32C43221</v>
      </c>
      <c r="B33" t="s">
        <v>150</v>
      </c>
      <c r="C33" s="7">
        <v>43221</v>
      </c>
      <c r="D33" t="s">
        <v>292</v>
      </c>
      <c r="E33" t="s">
        <v>261</v>
      </c>
      <c r="F33">
        <v>29.199000000000002</v>
      </c>
    </row>
    <row r="34" spans="1:6" x14ac:dyDescent="0.25">
      <c r="A34" t="str">
        <f t="shared" si="0"/>
        <v>32C43370</v>
      </c>
      <c r="B34" t="s">
        <v>150</v>
      </c>
      <c r="C34" s="7">
        <v>43370</v>
      </c>
      <c r="D34" t="s">
        <v>293</v>
      </c>
      <c r="E34" t="s">
        <v>261</v>
      </c>
      <c r="F34">
        <v>46.540999999999997</v>
      </c>
    </row>
    <row r="35" spans="1:6" x14ac:dyDescent="0.25">
      <c r="A35" t="str">
        <f t="shared" si="0"/>
        <v>32C43293</v>
      </c>
      <c r="B35" t="s">
        <v>150</v>
      </c>
      <c r="C35" s="7">
        <v>43293</v>
      </c>
      <c r="D35" t="s">
        <v>294</v>
      </c>
      <c r="E35" t="s">
        <v>261</v>
      </c>
      <c r="F35">
        <v>45.866999999999997</v>
      </c>
    </row>
    <row r="36" spans="1:6" x14ac:dyDescent="0.25">
      <c r="A36" t="str">
        <f t="shared" si="0"/>
        <v>4A43234</v>
      </c>
      <c r="B36" t="s">
        <v>155</v>
      </c>
      <c r="C36" s="7">
        <v>43234</v>
      </c>
      <c r="D36" t="s">
        <v>295</v>
      </c>
      <c r="E36" t="s">
        <v>261</v>
      </c>
      <c r="F36">
        <v>24.707999999999998</v>
      </c>
    </row>
    <row r="37" spans="1:6" x14ac:dyDescent="0.25">
      <c r="A37" t="str">
        <f t="shared" si="0"/>
        <v>4A43320</v>
      </c>
      <c r="B37" t="s">
        <v>155</v>
      </c>
      <c r="C37" s="7">
        <v>43320</v>
      </c>
      <c r="D37" t="s">
        <v>296</v>
      </c>
      <c r="E37" t="s">
        <v>261</v>
      </c>
      <c r="F37">
        <v>25.738</v>
      </c>
    </row>
    <row r="38" spans="1:6" x14ac:dyDescent="0.25">
      <c r="A38" t="str">
        <f t="shared" si="0"/>
        <v>4A43367</v>
      </c>
      <c r="B38" t="s">
        <v>155</v>
      </c>
      <c r="C38" s="7">
        <v>43367</v>
      </c>
      <c r="D38" t="s">
        <v>297</v>
      </c>
      <c r="E38" t="s">
        <v>261</v>
      </c>
      <c r="F38">
        <v>33.904000000000003</v>
      </c>
    </row>
    <row r="39" spans="1:6" x14ac:dyDescent="0.25">
      <c r="A39" t="str">
        <f t="shared" si="0"/>
        <v>4A43290</v>
      </c>
      <c r="B39" t="s">
        <v>155</v>
      </c>
      <c r="C39" s="7">
        <v>43290</v>
      </c>
      <c r="D39" t="s">
        <v>298</v>
      </c>
      <c r="E39" t="s">
        <v>261</v>
      </c>
      <c r="F39">
        <v>29.033999999999999</v>
      </c>
    </row>
    <row r="40" spans="1:6" x14ac:dyDescent="0.25">
      <c r="A40" t="str">
        <f t="shared" si="0"/>
        <v>4A43214</v>
      </c>
      <c r="B40" t="s">
        <v>155</v>
      </c>
      <c r="C40" s="7">
        <v>43214</v>
      </c>
      <c r="D40" t="s">
        <v>299</v>
      </c>
      <c r="E40" t="s">
        <v>261</v>
      </c>
      <c r="F40">
        <v>14.702999999999999</v>
      </c>
    </row>
    <row r="41" spans="1:6" x14ac:dyDescent="0.25">
      <c r="A41" t="str">
        <f t="shared" si="0"/>
        <v>4A43262</v>
      </c>
      <c r="B41" t="s">
        <v>155</v>
      </c>
      <c r="C41" s="7">
        <v>43262</v>
      </c>
      <c r="D41" t="s">
        <v>300</v>
      </c>
      <c r="E41" t="s">
        <v>261</v>
      </c>
      <c r="F41">
        <v>31.477</v>
      </c>
    </row>
    <row r="42" spans="1:6" x14ac:dyDescent="0.25">
      <c r="A42" t="str">
        <f t="shared" si="0"/>
        <v>4C43236</v>
      </c>
      <c r="B42" t="s">
        <v>162</v>
      </c>
      <c r="C42" s="7">
        <v>43236</v>
      </c>
      <c r="D42" t="s">
        <v>301</v>
      </c>
      <c r="E42" t="s">
        <v>261</v>
      </c>
      <c r="F42">
        <v>35.118000000000002</v>
      </c>
    </row>
    <row r="43" spans="1:6" x14ac:dyDescent="0.25">
      <c r="A43" t="str">
        <f t="shared" si="0"/>
        <v>4C43369</v>
      </c>
      <c r="B43" t="s">
        <v>162</v>
      </c>
      <c r="C43" s="7">
        <v>43369</v>
      </c>
      <c r="D43" t="s">
        <v>302</v>
      </c>
      <c r="E43" t="s">
        <v>261</v>
      </c>
      <c r="F43">
        <v>30.795999999999999</v>
      </c>
    </row>
    <row r="44" spans="1:6" x14ac:dyDescent="0.25">
      <c r="A44" t="str">
        <f t="shared" si="0"/>
        <v>4C24 Hr</v>
      </c>
      <c r="B44" t="s">
        <v>162</v>
      </c>
      <c r="C44" t="s">
        <v>130</v>
      </c>
      <c r="D44" t="s">
        <v>303</v>
      </c>
      <c r="E44" t="s">
        <v>261</v>
      </c>
      <c r="F44">
        <v>25.28</v>
      </c>
    </row>
    <row r="45" spans="1:6" x14ac:dyDescent="0.25">
      <c r="A45" t="str">
        <f t="shared" si="0"/>
        <v>4C43292</v>
      </c>
      <c r="B45" t="s">
        <v>162</v>
      </c>
      <c r="C45" s="7">
        <v>43292</v>
      </c>
      <c r="D45" t="s">
        <v>304</v>
      </c>
      <c r="E45" t="s">
        <v>261</v>
      </c>
      <c r="F45">
        <v>21.431000000000001</v>
      </c>
    </row>
    <row r="46" spans="1:6" x14ac:dyDescent="0.25">
      <c r="A46" t="str">
        <f t="shared" si="0"/>
        <v>4C43214</v>
      </c>
      <c r="B46" t="s">
        <v>162</v>
      </c>
      <c r="C46" s="7">
        <v>43214</v>
      </c>
      <c r="D46" t="s">
        <v>305</v>
      </c>
      <c r="E46" t="s">
        <v>261</v>
      </c>
      <c r="F46">
        <v>31.408999999999999</v>
      </c>
    </row>
    <row r="47" spans="1:6" x14ac:dyDescent="0.25">
      <c r="A47" t="str">
        <f t="shared" si="0"/>
        <v>4C0 Hr</v>
      </c>
      <c r="B47" t="s">
        <v>162</v>
      </c>
      <c r="C47" t="s">
        <v>126</v>
      </c>
      <c r="D47" t="s">
        <v>306</v>
      </c>
      <c r="E47" t="s">
        <v>261</v>
      </c>
      <c r="F47">
        <v>26.978999999999999</v>
      </c>
    </row>
    <row r="48" spans="1:6" x14ac:dyDescent="0.25">
      <c r="A48" t="str">
        <f t="shared" si="0"/>
        <v>4C12 Hr</v>
      </c>
      <c r="B48" t="s">
        <v>162</v>
      </c>
      <c r="C48" t="s">
        <v>128</v>
      </c>
      <c r="D48" t="s">
        <v>307</v>
      </c>
      <c r="E48" t="s">
        <v>261</v>
      </c>
      <c r="F48">
        <v>23.626999999999999</v>
      </c>
    </row>
    <row r="49" spans="1:6" x14ac:dyDescent="0.25">
      <c r="A49" t="str">
        <f t="shared" si="0"/>
        <v>4D43236</v>
      </c>
      <c r="B49" t="s">
        <v>170</v>
      </c>
      <c r="C49" s="7">
        <v>43236</v>
      </c>
      <c r="D49" t="s">
        <v>308</v>
      </c>
      <c r="E49" t="s">
        <v>261</v>
      </c>
      <c r="F49">
        <v>20.481000000000002</v>
      </c>
    </row>
    <row r="50" spans="1:6" x14ac:dyDescent="0.25">
      <c r="A50" t="str">
        <f t="shared" si="0"/>
        <v>4D43369</v>
      </c>
      <c r="B50" t="s">
        <v>170</v>
      </c>
      <c r="C50" s="7">
        <v>43369</v>
      </c>
      <c r="D50" t="s">
        <v>309</v>
      </c>
      <c r="E50" t="s">
        <v>261</v>
      </c>
      <c r="F50">
        <v>28.797999999999998</v>
      </c>
    </row>
    <row r="51" spans="1:6" x14ac:dyDescent="0.25">
      <c r="A51" t="str">
        <f t="shared" si="0"/>
        <v>4D43320</v>
      </c>
      <c r="B51" t="s">
        <v>170</v>
      </c>
      <c r="C51" s="7">
        <v>43320</v>
      </c>
      <c r="D51" t="s">
        <v>310</v>
      </c>
      <c r="E51" t="s">
        <v>261</v>
      </c>
      <c r="F51">
        <v>22.544</v>
      </c>
    </row>
    <row r="52" spans="1:6" x14ac:dyDescent="0.25">
      <c r="A52" t="str">
        <f t="shared" si="0"/>
        <v>4D43262</v>
      </c>
      <c r="B52" t="s">
        <v>170</v>
      </c>
      <c r="C52" s="7">
        <v>43262</v>
      </c>
      <c r="D52" t="s">
        <v>311</v>
      </c>
      <c r="E52" t="s">
        <v>261</v>
      </c>
      <c r="F52">
        <v>23.332999999999998</v>
      </c>
    </row>
    <row r="53" spans="1:6" x14ac:dyDescent="0.25">
      <c r="A53" t="str">
        <f t="shared" si="0"/>
        <v>4D43292</v>
      </c>
      <c r="B53" t="s">
        <v>170</v>
      </c>
      <c r="C53" s="7">
        <v>43292</v>
      </c>
      <c r="D53" t="s">
        <v>311</v>
      </c>
      <c r="E53" t="s">
        <v>261</v>
      </c>
      <c r="F53">
        <v>28.236999999999998</v>
      </c>
    </row>
    <row r="54" spans="1:6" x14ac:dyDescent="0.25">
      <c r="A54" t="str">
        <f t="shared" si="0"/>
        <v>4D43214</v>
      </c>
      <c r="B54" t="s">
        <v>170</v>
      </c>
      <c r="C54" s="7">
        <v>43214</v>
      </c>
      <c r="D54" t="s">
        <v>312</v>
      </c>
      <c r="E54" t="s">
        <v>261</v>
      </c>
      <c r="F54">
        <v>7.282</v>
      </c>
    </row>
    <row r="55" spans="1:6" x14ac:dyDescent="0.25">
      <c r="A55" t="str">
        <f t="shared" si="0"/>
        <v>56A43236</v>
      </c>
      <c r="B55" t="s">
        <v>177</v>
      </c>
      <c r="C55" s="7">
        <v>43236</v>
      </c>
      <c r="D55" t="s">
        <v>313</v>
      </c>
      <c r="E55" t="s">
        <v>261</v>
      </c>
      <c r="F55">
        <v>36.095999999999997</v>
      </c>
    </row>
    <row r="56" spans="1:6" x14ac:dyDescent="0.25">
      <c r="A56" t="str">
        <f t="shared" si="0"/>
        <v>56A43369</v>
      </c>
      <c r="B56" t="s">
        <v>177</v>
      </c>
      <c r="C56" s="7">
        <v>43369</v>
      </c>
      <c r="D56" t="s">
        <v>314</v>
      </c>
      <c r="E56" t="s">
        <v>261</v>
      </c>
      <c r="F56">
        <v>57.595999999999997</v>
      </c>
    </row>
    <row r="57" spans="1:6" x14ac:dyDescent="0.25">
      <c r="A57" t="str">
        <f t="shared" si="0"/>
        <v>56A43292</v>
      </c>
      <c r="B57" t="s">
        <v>177</v>
      </c>
      <c r="C57" s="7">
        <v>43292</v>
      </c>
      <c r="D57" t="s">
        <v>315</v>
      </c>
      <c r="E57" t="s">
        <v>261</v>
      </c>
      <c r="F57">
        <v>46.621000000000002</v>
      </c>
    </row>
    <row r="58" spans="1:6" x14ac:dyDescent="0.25">
      <c r="A58" t="str">
        <f t="shared" si="0"/>
        <v>56A43215</v>
      </c>
      <c r="B58" t="s">
        <v>177</v>
      </c>
      <c r="C58" s="7">
        <v>43215</v>
      </c>
      <c r="D58" t="s">
        <v>316</v>
      </c>
      <c r="E58" t="s">
        <v>261</v>
      </c>
      <c r="F58">
        <v>23.675999999999998</v>
      </c>
    </row>
    <row r="59" spans="1:6" x14ac:dyDescent="0.25">
      <c r="A59" t="str">
        <f t="shared" si="0"/>
        <v>56A0 Hr</v>
      </c>
      <c r="B59" t="s">
        <v>177</v>
      </c>
      <c r="C59" t="s">
        <v>126</v>
      </c>
      <c r="D59" t="s">
        <v>317</v>
      </c>
      <c r="E59" t="s">
        <v>261</v>
      </c>
      <c r="F59">
        <v>48.610999999999997</v>
      </c>
    </row>
    <row r="60" spans="1:6" x14ac:dyDescent="0.25">
      <c r="A60" t="str">
        <f t="shared" si="0"/>
        <v>56A12 Hr</v>
      </c>
      <c r="B60" t="s">
        <v>177</v>
      </c>
      <c r="C60" t="s">
        <v>128</v>
      </c>
      <c r="D60" t="s">
        <v>318</v>
      </c>
      <c r="E60" t="s">
        <v>261</v>
      </c>
      <c r="F60">
        <v>48.258000000000003</v>
      </c>
    </row>
    <row r="61" spans="1:6" x14ac:dyDescent="0.25">
      <c r="A61" t="str">
        <f t="shared" si="0"/>
        <v>56A24 Hr</v>
      </c>
      <c r="B61" t="s">
        <v>177</v>
      </c>
      <c r="C61" t="s">
        <v>130</v>
      </c>
      <c r="D61" t="s">
        <v>319</v>
      </c>
      <c r="E61" t="s">
        <v>261</v>
      </c>
      <c r="F61">
        <v>45.817999999999998</v>
      </c>
    </row>
    <row r="62" spans="1:6" x14ac:dyDescent="0.25">
      <c r="A62" t="str">
        <f t="shared" si="0"/>
        <v>56B43369</v>
      </c>
      <c r="B62" t="s">
        <v>185</v>
      </c>
      <c r="C62" s="7">
        <v>43369</v>
      </c>
      <c r="D62" t="s">
        <v>320</v>
      </c>
      <c r="E62" t="s">
        <v>261</v>
      </c>
      <c r="F62">
        <v>39.406999999999996</v>
      </c>
    </row>
    <row r="63" spans="1:6" x14ac:dyDescent="0.25">
      <c r="A63" t="str">
        <f t="shared" si="0"/>
        <v>56B43236</v>
      </c>
      <c r="B63" t="s">
        <v>185</v>
      </c>
      <c r="C63" s="7">
        <v>43236</v>
      </c>
      <c r="D63" t="s">
        <v>321</v>
      </c>
      <c r="E63" t="s">
        <v>261</v>
      </c>
      <c r="F63">
        <v>56.128</v>
      </c>
    </row>
    <row r="64" spans="1:6" x14ac:dyDescent="0.25">
      <c r="A64" t="str">
        <f t="shared" si="0"/>
        <v>56B43292</v>
      </c>
      <c r="B64" t="s">
        <v>185</v>
      </c>
      <c r="C64" s="7">
        <v>43292</v>
      </c>
      <c r="D64" t="s">
        <v>322</v>
      </c>
      <c r="E64" t="s">
        <v>261</v>
      </c>
      <c r="F64">
        <v>65.795000000000002</v>
      </c>
    </row>
    <row r="65" spans="1:6" x14ac:dyDescent="0.25">
      <c r="A65" t="str">
        <f t="shared" si="0"/>
        <v>56B43215</v>
      </c>
      <c r="B65" t="s">
        <v>185</v>
      </c>
      <c r="C65" s="7">
        <v>43215</v>
      </c>
      <c r="D65" t="s">
        <v>323</v>
      </c>
      <c r="E65" t="s">
        <v>261</v>
      </c>
      <c r="F65">
        <v>38.494999999999997</v>
      </c>
    </row>
    <row r="66" spans="1:6" x14ac:dyDescent="0.25">
      <c r="A66" t="str">
        <f t="shared" si="0"/>
        <v>61B43235</v>
      </c>
      <c r="B66" t="s">
        <v>190</v>
      </c>
      <c r="C66" s="7">
        <v>43235</v>
      </c>
      <c r="D66" t="s">
        <v>324</v>
      </c>
      <c r="E66" t="s">
        <v>261</v>
      </c>
      <c r="F66">
        <v>29.373000000000001</v>
      </c>
    </row>
    <row r="67" spans="1:6" x14ac:dyDescent="0.25">
      <c r="A67" t="str">
        <f t="shared" ref="A67:A121" si="1">B67&amp;C67</f>
        <v>61B43368</v>
      </c>
      <c r="B67" t="s">
        <v>190</v>
      </c>
      <c r="C67" s="7">
        <v>43368</v>
      </c>
      <c r="D67" t="s">
        <v>325</v>
      </c>
      <c r="E67" t="s">
        <v>261</v>
      </c>
      <c r="F67">
        <v>27.181000000000001</v>
      </c>
    </row>
    <row r="68" spans="1:6" x14ac:dyDescent="0.25">
      <c r="A68" t="str">
        <f t="shared" si="1"/>
        <v>61B43291</v>
      </c>
      <c r="B68" t="s">
        <v>190</v>
      </c>
      <c r="C68" s="7">
        <v>43291</v>
      </c>
      <c r="D68" t="s">
        <v>326</v>
      </c>
      <c r="E68" t="s">
        <v>261</v>
      </c>
      <c r="F68">
        <v>27.981999999999999</v>
      </c>
    </row>
    <row r="69" spans="1:6" x14ac:dyDescent="0.25">
      <c r="A69" t="str">
        <f t="shared" si="1"/>
        <v>61B43223</v>
      </c>
      <c r="B69" t="s">
        <v>190</v>
      </c>
      <c r="C69" s="7">
        <v>43223</v>
      </c>
      <c r="D69" t="s">
        <v>327</v>
      </c>
      <c r="E69" t="s">
        <v>261</v>
      </c>
      <c r="F69">
        <v>24.097999999999999</v>
      </c>
    </row>
    <row r="70" spans="1:6" x14ac:dyDescent="0.25">
      <c r="A70" t="str">
        <f t="shared" si="1"/>
        <v>61C43368</v>
      </c>
      <c r="B70" t="s">
        <v>195</v>
      </c>
      <c r="C70" s="7">
        <v>43368</v>
      </c>
      <c r="D70" t="s">
        <v>328</v>
      </c>
      <c r="E70" t="s">
        <v>261</v>
      </c>
      <c r="F70">
        <v>42.826000000000001</v>
      </c>
    </row>
    <row r="71" spans="1:6" x14ac:dyDescent="0.25">
      <c r="A71" t="str">
        <f t="shared" si="1"/>
        <v>61C43235</v>
      </c>
      <c r="B71" t="s">
        <v>195</v>
      </c>
      <c r="C71" s="7">
        <v>43235</v>
      </c>
      <c r="D71" t="s">
        <v>329</v>
      </c>
      <c r="E71" t="s">
        <v>261</v>
      </c>
      <c r="F71">
        <v>32.276000000000003</v>
      </c>
    </row>
    <row r="72" spans="1:6" x14ac:dyDescent="0.25">
      <c r="A72" t="str">
        <f t="shared" si="1"/>
        <v>61C43223</v>
      </c>
      <c r="B72" t="s">
        <v>195</v>
      </c>
      <c r="C72" s="7">
        <v>43223</v>
      </c>
      <c r="D72" t="s">
        <v>330</v>
      </c>
      <c r="E72" t="s">
        <v>261</v>
      </c>
      <c r="F72">
        <v>34.908999999999999</v>
      </c>
    </row>
    <row r="73" spans="1:6" x14ac:dyDescent="0.25">
      <c r="A73" t="str">
        <f t="shared" si="1"/>
        <v>61C43291</v>
      </c>
      <c r="B73" t="s">
        <v>195</v>
      </c>
      <c r="C73" s="7">
        <v>43291</v>
      </c>
      <c r="D73" t="s">
        <v>331</v>
      </c>
      <c r="E73" t="s">
        <v>261</v>
      </c>
      <c r="F73">
        <v>20.135999999999999</v>
      </c>
    </row>
    <row r="74" spans="1:6" x14ac:dyDescent="0.25">
      <c r="A74" t="str">
        <f t="shared" si="1"/>
        <v>62B43368</v>
      </c>
      <c r="B74" t="s">
        <v>200</v>
      </c>
      <c r="C74" s="7">
        <v>43368</v>
      </c>
      <c r="D74" t="s">
        <v>332</v>
      </c>
      <c r="E74" t="s">
        <v>261</v>
      </c>
      <c r="F74">
        <v>109.23399999999999</v>
      </c>
    </row>
    <row r="75" spans="1:6" x14ac:dyDescent="0.25">
      <c r="A75" t="str">
        <f t="shared" si="1"/>
        <v>62B43235</v>
      </c>
      <c r="B75" t="s">
        <v>200</v>
      </c>
      <c r="C75" s="7">
        <v>43235</v>
      </c>
      <c r="D75" t="s">
        <v>333</v>
      </c>
      <c r="E75" t="s">
        <v>261</v>
      </c>
      <c r="F75">
        <v>57.48</v>
      </c>
    </row>
    <row r="76" spans="1:6" x14ac:dyDescent="0.25">
      <c r="A76" t="str">
        <f t="shared" si="1"/>
        <v>62B43223</v>
      </c>
      <c r="B76" t="s">
        <v>200</v>
      </c>
      <c r="C76" s="7">
        <v>43223</v>
      </c>
      <c r="D76" t="s">
        <v>334</v>
      </c>
      <c r="E76" t="s">
        <v>261</v>
      </c>
      <c r="F76">
        <v>53.994</v>
      </c>
    </row>
    <row r="77" spans="1:6" x14ac:dyDescent="0.25">
      <c r="A77" t="str">
        <f t="shared" si="1"/>
        <v>62C43368</v>
      </c>
      <c r="B77" t="s">
        <v>205</v>
      </c>
      <c r="C77" s="7">
        <v>43368</v>
      </c>
      <c r="D77" t="s">
        <v>335</v>
      </c>
      <c r="E77" t="s">
        <v>261</v>
      </c>
      <c r="F77">
        <v>61.540999999999997</v>
      </c>
    </row>
    <row r="78" spans="1:6" x14ac:dyDescent="0.25">
      <c r="A78" t="str">
        <f t="shared" si="1"/>
        <v>62C43235</v>
      </c>
      <c r="B78" t="s">
        <v>205</v>
      </c>
      <c r="C78" s="7">
        <v>43235</v>
      </c>
      <c r="D78" t="s">
        <v>336</v>
      </c>
      <c r="E78" t="s">
        <v>261</v>
      </c>
      <c r="F78">
        <v>41.246000000000002</v>
      </c>
    </row>
    <row r="79" spans="1:6" x14ac:dyDescent="0.25">
      <c r="A79" t="str">
        <f t="shared" si="1"/>
        <v>62C43291</v>
      </c>
      <c r="B79" t="s">
        <v>205</v>
      </c>
      <c r="C79" s="7">
        <v>43291</v>
      </c>
      <c r="D79" t="s">
        <v>337</v>
      </c>
      <c r="E79" t="s">
        <v>261</v>
      </c>
      <c r="F79">
        <v>54.27</v>
      </c>
    </row>
    <row r="80" spans="1:6" x14ac:dyDescent="0.25">
      <c r="A80" t="str">
        <f t="shared" si="1"/>
        <v>62E43223</v>
      </c>
      <c r="B80" t="s">
        <v>210</v>
      </c>
      <c r="C80" s="7">
        <v>43223</v>
      </c>
      <c r="D80" t="s">
        <v>338</v>
      </c>
      <c r="E80" t="s">
        <v>261</v>
      </c>
      <c r="F80">
        <v>34.146000000000001</v>
      </c>
    </row>
    <row r="81" spans="1:6" x14ac:dyDescent="0.25">
      <c r="A81" t="str">
        <f t="shared" si="1"/>
        <v>62E43368</v>
      </c>
      <c r="B81" t="s">
        <v>210</v>
      </c>
      <c r="C81" s="7">
        <v>43368</v>
      </c>
      <c r="D81" t="s">
        <v>339</v>
      </c>
      <c r="E81" t="s">
        <v>261</v>
      </c>
      <c r="F81">
        <v>99.96</v>
      </c>
    </row>
    <row r="82" spans="1:6" x14ac:dyDescent="0.25">
      <c r="A82" t="str">
        <f t="shared" si="1"/>
        <v>62E43235</v>
      </c>
      <c r="B82" t="s">
        <v>210</v>
      </c>
      <c r="C82" s="7">
        <v>43235</v>
      </c>
      <c r="D82" t="s">
        <v>340</v>
      </c>
      <c r="E82" t="s">
        <v>261</v>
      </c>
      <c r="F82">
        <v>45.921999999999997</v>
      </c>
    </row>
    <row r="83" spans="1:6" x14ac:dyDescent="0.25">
      <c r="A83" t="str">
        <f t="shared" si="1"/>
        <v>62E43297</v>
      </c>
      <c r="B83" t="s">
        <v>210</v>
      </c>
      <c r="C83" s="7">
        <v>43297</v>
      </c>
      <c r="D83" t="s">
        <v>341</v>
      </c>
      <c r="E83" t="s">
        <v>261</v>
      </c>
      <c r="F83">
        <v>76.173000000000002</v>
      </c>
    </row>
    <row r="84" spans="1:6" x14ac:dyDescent="0.25">
      <c r="A84" t="str">
        <f t="shared" si="1"/>
        <v>62C43223</v>
      </c>
      <c r="B84" t="s">
        <v>205</v>
      </c>
      <c r="C84" s="7">
        <v>43223</v>
      </c>
      <c r="D84" t="s">
        <v>342</v>
      </c>
      <c r="E84" t="s">
        <v>261</v>
      </c>
      <c r="F84">
        <v>36.935000000000002</v>
      </c>
    </row>
    <row r="85" spans="1:6" x14ac:dyDescent="0.25">
      <c r="A85" t="str">
        <f t="shared" si="1"/>
        <v>66A43367</v>
      </c>
      <c r="B85" t="s">
        <v>215</v>
      </c>
      <c r="C85" s="7">
        <v>43367</v>
      </c>
      <c r="D85" t="s">
        <v>343</v>
      </c>
      <c r="E85" t="s">
        <v>261</v>
      </c>
      <c r="F85">
        <v>79.828999999999994</v>
      </c>
    </row>
    <row r="86" spans="1:6" x14ac:dyDescent="0.25">
      <c r="A86" t="str">
        <f t="shared" si="1"/>
        <v>66A43234</v>
      </c>
      <c r="B86" t="s">
        <v>215</v>
      </c>
      <c r="C86" s="7">
        <v>43234</v>
      </c>
      <c r="D86" t="s">
        <v>344</v>
      </c>
      <c r="E86" t="s">
        <v>261</v>
      </c>
      <c r="F86">
        <v>24.23</v>
      </c>
    </row>
    <row r="87" spans="1:6" x14ac:dyDescent="0.25">
      <c r="A87" t="str">
        <f t="shared" si="1"/>
        <v>66A43321</v>
      </c>
      <c r="B87" t="s">
        <v>215</v>
      </c>
      <c r="C87" s="7">
        <v>43321</v>
      </c>
      <c r="D87" t="s">
        <v>345</v>
      </c>
      <c r="E87" t="s">
        <v>261</v>
      </c>
      <c r="F87">
        <v>71.534000000000006</v>
      </c>
    </row>
    <row r="88" spans="1:6" x14ac:dyDescent="0.25">
      <c r="A88" t="str">
        <f t="shared" si="1"/>
        <v>66A43217</v>
      </c>
      <c r="B88" t="s">
        <v>215</v>
      </c>
      <c r="C88" s="7">
        <v>43217</v>
      </c>
      <c r="D88" t="s">
        <v>346</v>
      </c>
      <c r="E88" t="s">
        <v>261</v>
      </c>
      <c r="F88">
        <v>14.137</v>
      </c>
    </row>
    <row r="89" spans="1:6" x14ac:dyDescent="0.25">
      <c r="A89" t="str">
        <f t="shared" si="1"/>
        <v>66A43263</v>
      </c>
      <c r="B89" t="s">
        <v>215</v>
      </c>
      <c r="C89" s="7">
        <v>43263</v>
      </c>
      <c r="D89" t="s">
        <v>347</v>
      </c>
      <c r="E89" t="s">
        <v>261</v>
      </c>
      <c r="F89">
        <v>55.633000000000003</v>
      </c>
    </row>
    <row r="90" spans="1:6" x14ac:dyDescent="0.25">
      <c r="A90" t="str">
        <f t="shared" si="1"/>
        <v>66A43234</v>
      </c>
      <c r="B90" t="s">
        <v>215</v>
      </c>
      <c r="C90" s="7">
        <v>43234</v>
      </c>
      <c r="D90" t="s">
        <v>344</v>
      </c>
      <c r="E90" t="s">
        <v>261</v>
      </c>
      <c r="F90">
        <v>22.634</v>
      </c>
    </row>
    <row r="91" spans="1:6" x14ac:dyDescent="0.25">
      <c r="A91" t="str">
        <f t="shared" si="1"/>
        <v>66A43290</v>
      </c>
      <c r="B91" t="s">
        <v>215</v>
      </c>
      <c r="C91" s="7">
        <v>43290</v>
      </c>
      <c r="D91" t="s">
        <v>348</v>
      </c>
      <c r="E91" t="s">
        <v>261</v>
      </c>
      <c r="F91">
        <v>64.694000000000003</v>
      </c>
    </row>
    <row r="92" spans="1:6" x14ac:dyDescent="0.25">
      <c r="A92" t="str">
        <f t="shared" si="1"/>
        <v>66B43217</v>
      </c>
      <c r="B92" t="s">
        <v>222</v>
      </c>
      <c r="C92" s="7">
        <v>43217</v>
      </c>
      <c r="D92" t="s">
        <v>349</v>
      </c>
      <c r="E92" t="s">
        <v>261</v>
      </c>
      <c r="F92">
        <v>47.311999999999998</v>
      </c>
    </row>
    <row r="93" spans="1:6" x14ac:dyDescent="0.25">
      <c r="A93" t="str">
        <f t="shared" si="1"/>
        <v>66B43367</v>
      </c>
      <c r="B93" t="s">
        <v>222</v>
      </c>
      <c r="C93" s="7">
        <v>43367</v>
      </c>
      <c r="D93" t="s">
        <v>350</v>
      </c>
      <c r="E93" t="s">
        <v>261</v>
      </c>
      <c r="F93">
        <v>66.078999999999994</v>
      </c>
    </row>
    <row r="94" spans="1:6" x14ac:dyDescent="0.25">
      <c r="A94" t="str">
        <f t="shared" si="1"/>
        <v>66B43290</v>
      </c>
      <c r="B94" t="s">
        <v>222</v>
      </c>
      <c r="C94" s="7">
        <v>43290</v>
      </c>
      <c r="D94" t="s">
        <v>351</v>
      </c>
      <c r="E94" t="s">
        <v>261</v>
      </c>
      <c r="F94">
        <v>48.716999999999999</v>
      </c>
    </row>
    <row r="95" spans="1:6" x14ac:dyDescent="0.25">
      <c r="A95" t="str">
        <f t="shared" si="1"/>
        <v>66B43234</v>
      </c>
      <c r="B95" t="s">
        <v>222</v>
      </c>
      <c r="C95" s="7">
        <v>43234</v>
      </c>
      <c r="D95" t="s">
        <v>352</v>
      </c>
      <c r="E95" t="s">
        <v>261</v>
      </c>
      <c r="F95">
        <v>64.131</v>
      </c>
    </row>
    <row r="96" spans="1:6" x14ac:dyDescent="0.25">
      <c r="A96" t="str">
        <f t="shared" si="1"/>
        <v>66C43217</v>
      </c>
      <c r="B96" t="s">
        <v>227</v>
      </c>
      <c r="C96" s="7">
        <v>43217</v>
      </c>
      <c r="D96" t="s">
        <v>353</v>
      </c>
      <c r="E96" t="s">
        <v>261</v>
      </c>
      <c r="F96">
        <v>17.39</v>
      </c>
    </row>
    <row r="97" spans="1:6" x14ac:dyDescent="0.25">
      <c r="A97" t="str">
        <f t="shared" si="1"/>
        <v>66C43321</v>
      </c>
      <c r="B97" t="s">
        <v>227</v>
      </c>
      <c r="C97" s="7">
        <v>43321</v>
      </c>
      <c r="D97" t="s">
        <v>354</v>
      </c>
      <c r="E97" t="s">
        <v>261</v>
      </c>
      <c r="F97">
        <v>35.304000000000002</v>
      </c>
    </row>
    <row r="98" spans="1:6" x14ac:dyDescent="0.25">
      <c r="A98" t="str">
        <f t="shared" si="1"/>
        <v>66C43367</v>
      </c>
      <c r="B98" t="s">
        <v>227</v>
      </c>
      <c r="C98" s="7">
        <v>43367</v>
      </c>
      <c r="D98" t="s">
        <v>355</v>
      </c>
      <c r="E98" t="s">
        <v>261</v>
      </c>
      <c r="F98">
        <v>44.145000000000003</v>
      </c>
    </row>
    <row r="99" spans="1:6" x14ac:dyDescent="0.25">
      <c r="A99" t="str">
        <f t="shared" si="1"/>
        <v>66C43290</v>
      </c>
      <c r="B99" t="s">
        <v>227</v>
      </c>
      <c r="C99" s="7">
        <v>43290</v>
      </c>
      <c r="D99" t="s">
        <v>356</v>
      </c>
      <c r="E99" t="s">
        <v>261</v>
      </c>
      <c r="F99">
        <v>29.869</v>
      </c>
    </row>
    <row r="100" spans="1:6" x14ac:dyDescent="0.25">
      <c r="A100" t="str">
        <f t="shared" si="1"/>
        <v>66C43263</v>
      </c>
      <c r="B100" t="s">
        <v>227</v>
      </c>
      <c r="C100" s="7">
        <v>43263</v>
      </c>
      <c r="D100" t="s">
        <v>357</v>
      </c>
      <c r="E100" t="s">
        <v>261</v>
      </c>
      <c r="F100">
        <v>30.103999999999999</v>
      </c>
    </row>
    <row r="101" spans="1:6" x14ac:dyDescent="0.25">
      <c r="A101" t="str">
        <f t="shared" si="1"/>
        <v>62B43291</v>
      </c>
      <c r="B101" t="s">
        <v>200</v>
      </c>
      <c r="C101" s="7">
        <v>43291</v>
      </c>
      <c r="D101" t="s">
        <v>358</v>
      </c>
      <c r="E101" t="s">
        <v>261</v>
      </c>
      <c r="F101">
        <v>88.757000000000005</v>
      </c>
    </row>
    <row r="102" spans="1:6" x14ac:dyDescent="0.25">
      <c r="A102" t="str">
        <f t="shared" si="1"/>
        <v>P143325</v>
      </c>
      <c r="B102" t="s">
        <v>234</v>
      </c>
      <c r="C102" s="7">
        <v>43325</v>
      </c>
      <c r="D102" t="s">
        <v>359</v>
      </c>
      <c r="E102" t="s">
        <v>261</v>
      </c>
      <c r="F102">
        <v>50.423999999999999</v>
      </c>
    </row>
    <row r="103" spans="1:6" x14ac:dyDescent="0.25">
      <c r="A103" t="str">
        <f t="shared" si="1"/>
        <v>P10343326</v>
      </c>
      <c r="B103" t="s">
        <v>235</v>
      </c>
      <c r="C103" s="7">
        <v>43326</v>
      </c>
      <c r="D103" t="s">
        <v>360</v>
      </c>
      <c r="E103" t="s">
        <v>261</v>
      </c>
      <c r="F103">
        <v>76.153999999999996</v>
      </c>
    </row>
    <row r="104" spans="1:6" x14ac:dyDescent="0.25">
      <c r="A104" t="str">
        <f t="shared" si="1"/>
        <v>P10943326</v>
      </c>
      <c r="B104" t="s">
        <v>236</v>
      </c>
      <c r="C104" s="7">
        <v>43326</v>
      </c>
      <c r="D104" t="s">
        <v>361</v>
      </c>
      <c r="E104" t="s">
        <v>261</v>
      </c>
      <c r="F104">
        <v>73.046999999999997</v>
      </c>
    </row>
    <row r="105" spans="1:6" x14ac:dyDescent="0.25">
      <c r="A105" t="str">
        <f t="shared" si="1"/>
        <v>P11843326</v>
      </c>
      <c r="B105" t="s">
        <v>237</v>
      </c>
      <c r="C105" s="7">
        <v>43326</v>
      </c>
      <c r="D105" t="s">
        <v>362</v>
      </c>
      <c r="E105" t="s">
        <v>261</v>
      </c>
      <c r="F105">
        <v>85.06</v>
      </c>
    </row>
    <row r="106" spans="1:6" x14ac:dyDescent="0.25">
      <c r="A106" t="str">
        <f t="shared" si="1"/>
        <v>P12043326</v>
      </c>
      <c r="B106" t="s">
        <v>238</v>
      </c>
      <c r="C106" s="7">
        <v>43326</v>
      </c>
      <c r="D106" t="s">
        <v>363</v>
      </c>
      <c r="E106" t="s">
        <v>261</v>
      </c>
      <c r="F106">
        <v>53.954000000000001</v>
      </c>
    </row>
    <row r="107" spans="1:6" x14ac:dyDescent="0.25">
      <c r="A107" t="str">
        <f t="shared" si="1"/>
        <v>P12443326</v>
      </c>
      <c r="B107" t="s">
        <v>239</v>
      </c>
      <c r="C107" s="7">
        <v>43326</v>
      </c>
      <c r="D107" t="s">
        <v>364</v>
      </c>
      <c r="E107" t="s">
        <v>261</v>
      </c>
      <c r="F107">
        <v>37.113</v>
      </c>
    </row>
    <row r="108" spans="1:6" x14ac:dyDescent="0.25">
      <c r="A108" t="str">
        <f t="shared" si="1"/>
        <v>P12543325</v>
      </c>
      <c r="B108" t="s">
        <v>240</v>
      </c>
      <c r="C108" s="7">
        <v>43325</v>
      </c>
      <c r="D108" t="s">
        <v>365</v>
      </c>
      <c r="E108" t="s">
        <v>261</v>
      </c>
      <c r="F108">
        <v>48.271000000000001</v>
      </c>
    </row>
    <row r="109" spans="1:6" x14ac:dyDescent="0.25">
      <c r="A109" t="str">
        <f t="shared" si="1"/>
        <v>P2043329</v>
      </c>
      <c r="B109" t="s">
        <v>241</v>
      </c>
      <c r="C109" s="7">
        <v>43329</v>
      </c>
      <c r="D109" t="s">
        <v>366</v>
      </c>
      <c r="E109" t="s">
        <v>261</v>
      </c>
      <c r="F109">
        <v>49.2</v>
      </c>
    </row>
    <row r="110" spans="1:6" x14ac:dyDescent="0.25">
      <c r="A110" t="str">
        <f t="shared" si="1"/>
        <v>P2643329</v>
      </c>
      <c r="B110" t="s">
        <v>242</v>
      </c>
      <c r="C110" s="7">
        <v>43329</v>
      </c>
      <c r="D110" t="s">
        <v>367</v>
      </c>
      <c r="E110" t="s">
        <v>261</v>
      </c>
      <c r="F110">
        <v>71.105999999999995</v>
      </c>
    </row>
    <row r="111" spans="1:6" x14ac:dyDescent="0.25">
      <c r="A111" t="str">
        <f t="shared" si="1"/>
        <v>P3543328</v>
      </c>
      <c r="B111" t="s">
        <v>243</v>
      </c>
      <c r="C111" s="7">
        <v>43328</v>
      </c>
      <c r="D111" t="s">
        <v>368</v>
      </c>
      <c r="E111" t="s">
        <v>261</v>
      </c>
      <c r="F111">
        <v>80.018000000000001</v>
      </c>
    </row>
    <row r="112" spans="1:6" x14ac:dyDescent="0.25">
      <c r="A112" t="str">
        <f t="shared" si="1"/>
        <v>P3743328</v>
      </c>
      <c r="B112" t="s">
        <v>244</v>
      </c>
      <c r="C112" s="7">
        <v>43328</v>
      </c>
      <c r="D112" t="s">
        <v>369</v>
      </c>
      <c r="E112" t="s">
        <v>261</v>
      </c>
      <c r="F112">
        <v>9.9890000000000008</v>
      </c>
    </row>
    <row r="113" spans="1:6" x14ac:dyDescent="0.25">
      <c r="A113" t="str">
        <f t="shared" si="1"/>
        <v>P5043325</v>
      </c>
      <c r="B113" t="s">
        <v>245</v>
      </c>
      <c r="C113" s="7">
        <v>43325</v>
      </c>
      <c r="D113" t="s">
        <v>370</v>
      </c>
      <c r="E113" t="s">
        <v>261</v>
      </c>
      <c r="F113">
        <v>90.66</v>
      </c>
    </row>
    <row r="114" spans="1:6" x14ac:dyDescent="0.25">
      <c r="A114" t="str">
        <f t="shared" si="1"/>
        <v>P6643327</v>
      </c>
      <c r="B114" t="s">
        <v>246</v>
      </c>
      <c r="C114" s="7">
        <v>43327</v>
      </c>
      <c r="D114" t="s">
        <v>371</v>
      </c>
      <c r="E114" t="s">
        <v>261</v>
      </c>
      <c r="F114">
        <v>96.031999999999996</v>
      </c>
    </row>
    <row r="115" spans="1:6" x14ac:dyDescent="0.25">
      <c r="A115" t="str">
        <f t="shared" si="1"/>
        <v>P6743329</v>
      </c>
      <c r="B115" t="s">
        <v>247</v>
      </c>
      <c r="C115" s="7">
        <v>43329</v>
      </c>
      <c r="D115" t="s">
        <v>372</v>
      </c>
      <c r="E115" t="s">
        <v>261</v>
      </c>
      <c r="F115">
        <v>88.531999999999996</v>
      </c>
    </row>
    <row r="116" spans="1:6" x14ac:dyDescent="0.25">
      <c r="A116" t="str">
        <f t="shared" si="1"/>
        <v>P7043327</v>
      </c>
      <c r="B116" t="s">
        <v>248</v>
      </c>
      <c r="C116" s="7">
        <v>43327</v>
      </c>
      <c r="D116" t="s">
        <v>373</v>
      </c>
      <c r="E116" t="s">
        <v>261</v>
      </c>
      <c r="F116">
        <v>90.433000000000007</v>
      </c>
    </row>
    <row r="117" spans="1:6" x14ac:dyDescent="0.25">
      <c r="A117" t="str">
        <f t="shared" si="1"/>
        <v>P7543327</v>
      </c>
      <c r="B117" t="s">
        <v>249</v>
      </c>
      <c r="C117" s="7">
        <v>43327</v>
      </c>
      <c r="D117" t="s">
        <v>374</v>
      </c>
      <c r="E117" t="s">
        <v>261</v>
      </c>
      <c r="F117">
        <v>61.531999999999996</v>
      </c>
    </row>
    <row r="118" spans="1:6" x14ac:dyDescent="0.25">
      <c r="A118" t="str">
        <f t="shared" si="1"/>
        <v>P8843327</v>
      </c>
      <c r="B118" t="s">
        <v>250</v>
      </c>
      <c r="C118" s="7">
        <v>43327</v>
      </c>
      <c r="D118" t="s">
        <v>375</v>
      </c>
      <c r="E118" t="s">
        <v>261</v>
      </c>
      <c r="F118">
        <v>49.3</v>
      </c>
    </row>
    <row r="119" spans="1:6" x14ac:dyDescent="0.25">
      <c r="A119" t="str">
        <f t="shared" si="1"/>
        <v>P9043329</v>
      </c>
      <c r="B119" t="s">
        <v>251</v>
      </c>
      <c r="C119" s="7">
        <v>43329</v>
      </c>
      <c r="D119" t="s">
        <v>376</v>
      </c>
      <c r="E119" t="s">
        <v>261</v>
      </c>
      <c r="F119">
        <v>69.076999999999998</v>
      </c>
    </row>
    <row r="120" spans="1:6" x14ac:dyDescent="0.25">
      <c r="A120" t="str">
        <f t="shared" si="1"/>
        <v>P9743328</v>
      </c>
      <c r="B120" t="s">
        <v>252</v>
      </c>
      <c r="C120" s="7">
        <v>43328</v>
      </c>
      <c r="D120" t="s">
        <v>377</v>
      </c>
      <c r="E120" t="s">
        <v>261</v>
      </c>
      <c r="F120">
        <v>67.567999999999998</v>
      </c>
    </row>
    <row r="121" spans="1:6" x14ac:dyDescent="0.25">
      <c r="A121" t="str">
        <f t="shared" si="1"/>
        <v>P9843328</v>
      </c>
      <c r="B121" t="s">
        <v>253</v>
      </c>
      <c r="C121" s="7">
        <v>43328</v>
      </c>
      <c r="D121" t="s">
        <v>378</v>
      </c>
      <c r="E121" t="s">
        <v>261</v>
      </c>
      <c r="F121">
        <v>78.385999999999996</v>
      </c>
    </row>
  </sheetData>
  <autoFilter ref="A1:F121" xr:uid="{80F57DA7-FA4E-4633-87F0-E91D7325A9D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FEC48-D8C3-4EE4-B3E9-7E92FEA1131B}">
  <dimension ref="A1:F121"/>
  <sheetViews>
    <sheetView topLeftCell="A91" workbookViewId="0">
      <selection activeCell="C114" sqref="C114"/>
    </sheetView>
  </sheetViews>
  <sheetFormatPr defaultColWidth="8.85546875" defaultRowHeight="15" x14ac:dyDescent="0.25"/>
  <cols>
    <col min="3" max="3" width="10.140625" bestFit="1" customWidth="1"/>
    <col min="4" max="4" width="27.42578125" bestFit="1" customWidth="1"/>
  </cols>
  <sheetData>
    <row r="1" spans="1:6" ht="15.75" thickBot="1" x14ac:dyDescent="0.3">
      <c r="A1" s="33" t="s">
        <v>2</v>
      </c>
      <c r="B1" s="33" t="s">
        <v>379</v>
      </c>
      <c r="C1" s="33" t="s">
        <v>3</v>
      </c>
      <c r="D1" s="33" t="s">
        <v>109</v>
      </c>
      <c r="E1" s="33" t="s">
        <v>258</v>
      </c>
      <c r="F1" s="33" t="s">
        <v>259</v>
      </c>
    </row>
    <row r="2" spans="1:6" ht="15.75" thickTop="1" x14ac:dyDescent="0.25">
      <c r="A2" t="str">
        <f>B2&amp;C2</f>
        <v>2343370</v>
      </c>
      <c r="B2">
        <v>23</v>
      </c>
      <c r="C2" s="7">
        <v>43370</v>
      </c>
      <c r="D2" t="s">
        <v>260</v>
      </c>
      <c r="E2" t="s">
        <v>380</v>
      </c>
      <c r="F2">
        <v>19.244</v>
      </c>
    </row>
    <row r="3" spans="1:6" x14ac:dyDescent="0.25">
      <c r="A3" t="str">
        <f t="shared" ref="A3:A66" si="0">B3&amp;C3</f>
        <v>2343321</v>
      </c>
      <c r="B3">
        <v>23</v>
      </c>
      <c r="C3" s="7">
        <v>43321</v>
      </c>
      <c r="D3" t="s">
        <v>262</v>
      </c>
      <c r="E3" t="s">
        <v>380</v>
      </c>
      <c r="F3">
        <v>19.254999999999999</v>
      </c>
    </row>
    <row r="4" spans="1:6" x14ac:dyDescent="0.25">
      <c r="A4" t="str">
        <f t="shared" si="0"/>
        <v>2343237</v>
      </c>
      <c r="B4">
        <v>23</v>
      </c>
      <c r="C4" s="7">
        <v>43237</v>
      </c>
      <c r="D4" t="s">
        <v>263</v>
      </c>
      <c r="E4" t="s">
        <v>380</v>
      </c>
      <c r="F4">
        <v>11.377000000000001</v>
      </c>
    </row>
    <row r="5" spans="1:6" x14ac:dyDescent="0.25">
      <c r="A5" t="str">
        <f t="shared" si="0"/>
        <v>2343293</v>
      </c>
      <c r="B5">
        <v>23</v>
      </c>
      <c r="C5" s="7">
        <v>43293</v>
      </c>
      <c r="D5" t="s">
        <v>264</v>
      </c>
      <c r="E5" t="s">
        <v>380</v>
      </c>
      <c r="F5">
        <v>15.997</v>
      </c>
    </row>
    <row r="6" spans="1:6" x14ac:dyDescent="0.25">
      <c r="A6" t="str">
        <f t="shared" si="0"/>
        <v>2343262</v>
      </c>
      <c r="B6">
        <v>23</v>
      </c>
      <c r="C6" s="7">
        <v>43262</v>
      </c>
      <c r="D6" t="s">
        <v>265</v>
      </c>
      <c r="E6" t="s">
        <v>380</v>
      </c>
      <c r="F6">
        <v>11.090999999999999</v>
      </c>
    </row>
    <row r="7" spans="1:6" x14ac:dyDescent="0.25">
      <c r="A7" t="str">
        <f t="shared" si="0"/>
        <v>6843294</v>
      </c>
      <c r="B7">
        <v>68</v>
      </c>
      <c r="C7" s="7">
        <v>43294</v>
      </c>
      <c r="D7" t="s">
        <v>266</v>
      </c>
      <c r="E7" t="s">
        <v>380</v>
      </c>
      <c r="F7">
        <v>25.507000000000001</v>
      </c>
    </row>
    <row r="8" spans="1:6" x14ac:dyDescent="0.25">
      <c r="A8" t="str">
        <f t="shared" si="0"/>
        <v>6843238</v>
      </c>
      <c r="B8">
        <v>68</v>
      </c>
      <c r="C8" s="7">
        <v>43238</v>
      </c>
      <c r="D8" t="s">
        <v>267</v>
      </c>
      <c r="E8" t="s">
        <v>380</v>
      </c>
      <c r="F8">
        <v>20.657</v>
      </c>
    </row>
    <row r="9" spans="1:6" x14ac:dyDescent="0.25">
      <c r="A9" t="str">
        <f t="shared" si="0"/>
        <v>6843216</v>
      </c>
      <c r="B9">
        <v>68</v>
      </c>
      <c r="C9" s="7">
        <v>43216</v>
      </c>
      <c r="D9" t="s">
        <v>268</v>
      </c>
      <c r="E9" t="s">
        <v>380</v>
      </c>
      <c r="F9">
        <v>17.09</v>
      </c>
    </row>
    <row r="10" spans="1:6" x14ac:dyDescent="0.25">
      <c r="A10" t="str">
        <f t="shared" si="0"/>
        <v>14A43371</v>
      </c>
      <c r="B10" t="s">
        <v>121</v>
      </c>
      <c r="C10" s="7">
        <v>43371</v>
      </c>
      <c r="D10" t="s">
        <v>269</v>
      </c>
      <c r="E10" t="s">
        <v>380</v>
      </c>
      <c r="F10">
        <v>53.38</v>
      </c>
    </row>
    <row r="11" spans="1:6" x14ac:dyDescent="0.25">
      <c r="A11" t="str">
        <f t="shared" si="0"/>
        <v>14A43238</v>
      </c>
      <c r="B11" t="s">
        <v>121</v>
      </c>
      <c r="C11" s="7">
        <v>43238</v>
      </c>
      <c r="D11" t="s">
        <v>270</v>
      </c>
      <c r="E11" t="s">
        <v>380</v>
      </c>
      <c r="F11">
        <v>38.182000000000002</v>
      </c>
    </row>
    <row r="12" spans="1:6" x14ac:dyDescent="0.25">
      <c r="A12" t="str">
        <f t="shared" si="0"/>
        <v>14A43294</v>
      </c>
      <c r="B12" t="s">
        <v>121</v>
      </c>
      <c r="C12" s="7">
        <v>43294</v>
      </c>
      <c r="D12" t="s">
        <v>271</v>
      </c>
      <c r="E12" t="s">
        <v>380</v>
      </c>
      <c r="F12">
        <v>45.594999999999999</v>
      </c>
    </row>
    <row r="13" spans="1:6" x14ac:dyDescent="0.25">
      <c r="A13" t="str">
        <f t="shared" si="0"/>
        <v>14A43216</v>
      </c>
      <c r="B13" t="s">
        <v>121</v>
      </c>
      <c r="C13" s="7">
        <v>43216</v>
      </c>
      <c r="D13" t="s">
        <v>272</v>
      </c>
      <c r="E13" t="s">
        <v>380</v>
      </c>
      <c r="F13">
        <v>23.294</v>
      </c>
    </row>
    <row r="14" spans="1:6" x14ac:dyDescent="0.25">
      <c r="A14" t="str">
        <f t="shared" si="0"/>
        <v>14A0 Hr</v>
      </c>
      <c r="B14" t="s">
        <v>121</v>
      </c>
      <c r="C14" t="s">
        <v>126</v>
      </c>
      <c r="D14" t="s">
        <v>273</v>
      </c>
      <c r="E14" t="s">
        <v>380</v>
      </c>
      <c r="F14">
        <v>43.52</v>
      </c>
    </row>
    <row r="15" spans="1:6" x14ac:dyDescent="0.25">
      <c r="A15" t="str">
        <f t="shared" si="0"/>
        <v>14A12 Hr</v>
      </c>
      <c r="B15" t="s">
        <v>121</v>
      </c>
      <c r="C15" t="s">
        <v>128</v>
      </c>
      <c r="D15" t="s">
        <v>274</v>
      </c>
      <c r="E15" t="s">
        <v>380</v>
      </c>
      <c r="F15">
        <v>43.796999999999997</v>
      </c>
    </row>
    <row r="16" spans="1:6" x14ac:dyDescent="0.25">
      <c r="A16" t="str">
        <f t="shared" si="0"/>
        <v>14A24 Hr</v>
      </c>
      <c r="B16" t="s">
        <v>121</v>
      </c>
      <c r="C16" t="s">
        <v>130</v>
      </c>
      <c r="D16" t="s">
        <v>275</v>
      </c>
      <c r="E16" t="s">
        <v>380</v>
      </c>
      <c r="F16">
        <v>47.744</v>
      </c>
    </row>
    <row r="17" spans="1:6" x14ac:dyDescent="0.25">
      <c r="A17" t="str">
        <f t="shared" si="0"/>
        <v>14B43371</v>
      </c>
      <c r="B17" t="s">
        <v>132</v>
      </c>
      <c r="C17" s="7">
        <v>43371</v>
      </c>
      <c r="D17" t="s">
        <v>276</v>
      </c>
      <c r="E17" t="s">
        <v>380</v>
      </c>
      <c r="F17">
        <v>29.123000000000001</v>
      </c>
    </row>
    <row r="18" spans="1:6" x14ac:dyDescent="0.25">
      <c r="A18" t="str">
        <f t="shared" si="0"/>
        <v>14B43238</v>
      </c>
      <c r="B18" t="s">
        <v>132</v>
      </c>
      <c r="C18" s="7">
        <v>43238</v>
      </c>
      <c r="D18" t="s">
        <v>277</v>
      </c>
      <c r="E18" t="s">
        <v>380</v>
      </c>
      <c r="F18">
        <v>24.814</v>
      </c>
    </row>
    <row r="19" spans="1:6" x14ac:dyDescent="0.25">
      <c r="A19" t="str">
        <f t="shared" si="0"/>
        <v>14B43294</v>
      </c>
      <c r="B19" t="s">
        <v>132</v>
      </c>
      <c r="C19" s="7">
        <v>43294</v>
      </c>
      <c r="D19" t="s">
        <v>278</v>
      </c>
      <c r="E19" t="s">
        <v>380</v>
      </c>
      <c r="F19">
        <v>26.507999999999999</v>
      </c>
    </row>
    <row r="20" spans="1:6" x14ac:dyDescent="0.25">
      <c r="A20" t="str">
        <f t="shared" si="0"/>
        <v>14B43216</v>
      </c>
      <c r="B20" t="s">
        <v>132</v>
      </c>
      <c r="C20" s="7">
        <v>43216</v>
      </c>
      <c r="D20" t="s">
        <v>279</v>
      </c>
      <c r="E20" t="s">
        <v>380</v>
      </c>
      <c r="F20">
        <v>24.324999999999999</v>
      </c>
    </row>
    <row r="21" spans="1:6" x14ac:dyDescent="0.25">
      <c r="A21" t="str">
        <f t="shared" si="0"/>
        <v>230 Hr</v>
      </c>
      <c r="B21">
        <v>23</v>
      </c>
      <c r="C21" t="s">
        <v>126</v>
      </c>
      <c r="D21" t="s">
        <v>280</v>
      </c>
      <c r="E21" t="s">
        <v>380</v>
      </c>
      <c r="F21">
        <v>16.942</v>
      </c>
    </row>
    <row r="22" spans="1:6" x14ac:dyDescent="0.25">
      <c r="A22" t="str">
        <f t="shared" si="0"/>
        <v>2312 Hr</v>
      </c>
      <c r="B22">
        <v>23</v>
      </c>
      <c r="C22" t="s">
        <v>128</v>
      </c>
      <c r="D22" t="s">
        <v>281</v>
      </c>
      <c r="E22" t="s">
        <v>380</v>
      </c>
      <c r="F22">
        <v>17.04</v>
      </c>
    </row>
    <row r="23" spans="1:6" x14ac:dyDescent="0.25">
      <c r="A23" t="str">
        <f t="shared" si="0"/>
        <v>2324 Hr</v>
      </c>
      <c r="B23">
        <v>23</v>
      </c>
      <c r="C23" t="s">
        <v>130</v>
      </c>
      <c r="D23" t="s">
        <v>282</v>
      </c>
      <c r="E23" t="s">
        <v>380</v>
      </c>
      <c r="F23">
        <v>17.122</v>
      </c>
    </row>
    <row r="24" spans="1:6" x14ac:dyDescent="0.25">
      <c r="A24" t="str">
        <f t="shared" si="0"/>
        <v>32A43370</v>
      </c>
      <c r="B24" t="s">
        <v>140</v>
      </c>
      <c r="C24" s="7">
        <v>43370</v>
      </c>
      <c r="D24" t="s">
        <v>283</v>
      </c>
      <c r="E24" t="s">
        <v>380</v>
      </c>
      <c r="F24">
        <v>38.127000000000002</v>
      </c>
    </row>
    <row r="25" spans="1:6" x14ac:dyDescent="0.25">
      <c r="A25" t="str">
        <f t="shared" si="0"/>
        <v>32A43221</v>
      </c>
      <c r="B25" t="s">
        <v>140</v>
      </c>
      <c r="C25" s="7">
        <v>43221</v>
      </c>
      <c r="D25" t="s">
        <v>284</v>
      </c>
      <c r="E25" t="s">
        <v>380</v>
      </c>
      <c r="F25">
        <v>26.023</v>
      </c>
    </row>
    <row r="26" spans="1:6" x14ac:dyDescent="0.25">
      <c r="A26" t="str">
        <f t="shared" si="0"/>
        <v>32A43293</v>
      </c>
      <c r="B26" t="s">
        <v>140</v>
      </c>
      <c r="C26" s="7">
        <v>43293</v>
      </c>
      <c r="D26" t="s">
        <v>285</v>
      </c>
      <c r="E26" t="s">
        <v>380</v>
      </c>
      <c r="F26">
        <v>28.143000000000001</v>
      </c>
    </row>
    <row r="27" spans="1:6" x14ac:dyDescent="0.25">
      <c r="A27" t="str">
        <f t="shared" si="0"/>
        <v>32A43243</v>
      </c>
      <c r="B27" t="s">
        <v>140</v>
      </c>
      <c r="C27" s="7">
        <v>43243</v>
      </c>
      <c r="D27" t="s">
        <v>286</v>
      </c>
      <c r="E27" t="s">
        <v>380</v>
      </c>
      <c r="F27">
        <v>29.975999999999999</v>
      </c>
    </row>
    <row r="28" spans="1:6" x14ac:dyDescent="0.25">
      <c r="A28" t="str">
        <f t="shared" si="0"/>
        <v>32B43370</v>
      </c>
      <c r="B28" t="s">
        <v>145</v>
      </c>
      <c r="C28" s="7">
        <v>43370</v>
      </c>
      <c r="D28" t="s">
        <v>287</v>
      </c>
      <c r="E28" t="s">
        <v>380</v>
      </c>
      <c r="F28">
        <v>28.791</v>
      </c>
    </row>
    <row r="29" spans="1:6" x14ac:dyDescent="0.25">
      <c r="A29" t="str">
        <f t="shared" si="0"/>
        <v>32B43221</v>
      </c>
      <c r="B29" t="s">
        <v>145</v>
      </c>
      <c r="C29" s="7">
        <v>43221</v>
      </c>
      <c r="D29" t="s">
        <v>288</v>
      </c>
      <c r="E29" t="s">
        <v>380</v>
      </c>
      <c r="F29">
        <v>21.282</v>
      </c>
    </row>
    <row r="30" spans="1:6" x14ac:dyDescent="0.25">
      <c r="A30" t="str">
        <f t="shared" si="0"/>
        <v>32B43243</v>
      </c>
      <c r="B30" t="s">
        <v>145</v>
      </c>
      <c r="C30" s="7">
        <v>43243</v>
      </c>
      <c r="D30" t="s">
        <v>289</v>
      </c>
      <c r="E30" t="s">
        <v>380</v>
      </c>
      <c r="F30">
        <v>23.323</v>
      </c>
    </row>
    <row r="31" spans="1:6" x14ac:dyDescent="0.25">
      <c r="A31" t="str">
        <f t="shared" si="0"/>
        <v>32B43293</v>
      </c>
      <c r="B31" t="s">
        <v>145</v>
      </c>
      <c r="C31" s="7">
        <v>43293</v>
      </c>
      <c r="D31" t="s">
        <v>290</v>
      </c>
      <c r="E31" t="s">
        <v>380</v>
      </c>
      <c r="F31">
        <v>23.734999999999999</v>
      </c>
    </row>
    <row r="32" spans="1:6" x14ac:dyDescent="0.25">
      <c r="A32" t="str">
        <f t="shared" si="0"/>
        <v>32C43237</v>
      </c>
      <c r="B32" t="s">
        <v>150</v>
      </c>
      <c r="C32" s="7">
        <v>43237</v>
      </c>
      <c r="D32" t="s">
        <v>291</v>
      </c>
      <c r="E32" t="s">
        <v>380</v>
      </c>
      <c r="F32">
        <v>21.623999999999999</v>
      </c>
    </row>
    <row r="33" spans="1:6" x14ac:dyDescent="0.25">
      <c r="A33" t="str">
        <f t="shared" si="0"/>
        <v>32C43221</v>
      </c>
      <c r="B33" t="s">
        <v>150</v>
      </c>
      <c r="C33" s="7">
        <v>43221</v>
      </c>
      <c r="D33" t="s">
        <v>292</v>
      </c>
      <c r="E33" t="s">
        <v>380</v>
      </c>
      <c r="F33">
        <v>17</v>
      </c>
    </row>
    <row r="34" spans="1:6" x14ac:dyDescent="0.25">
      <c r="A34" t="str">
        <f t="shared" si="0"/>
        <v>32C43370</v>
      </c>
      <c r="B34" t="s">
        <v>150</v>
      </c>
      <c r="C34" s="7">
        <v>43370</v>
      </c>
      <c r="D34" t="s">
        <v>293</v>
      </c>
      <c r="E34" t="s">
        <v>380</v>
      </c>
      <c r="F34">
        <v>31.373000000000001</v>
      </c>
    </row>
    <row r="35" spans="1:6" x14ac:dyDescent="0.25">
      <c r="A35" t="str">
        <f t="shared" si="0"/>
        <v>32C43293</v>
      </c>
      <c r="B35" t="s">
        <v>150</v>
      </c>
      <c r="C35" s="7">
        <v>43293</v>
      </c>
      <c r="D35" t="s">
        <v>294</v>
      </c>
      <c r="E35" t="s">
        <v>380</v>
      </c>
      <c r="F35">
        <v>24.526</v>
      </c>
    </row>
    <row r="36" spans="1:6" x14ac:dyDescent="0.25">
      <c r="A36" t="str">
        <f t="shared" si="0"/>
        <v>4A43234</v>
      </c>
      <c r="B36" t="s">
        <v>155</v>
      </c>
      <c r="C36" s="7">
        <v>43234</v>
      </c>
      <c r="D36" t="s">
        <v>295</v>
      </c>
      <c r="E36" t="s">
        <v>380</v>
      </c>
      <c r="F36">
        <v>16.779</v>
      </c>
    </row>
    <row r="37" spans="1:6" x14ac:dyDescent="0.25">
      <c r="A37" t="str">
        <f t="shared" si="0"/>
        <v>4A43320</v>
      </c>
      <c r="B37" t="s">
        <v>155</v>
      </c>
      <c r="C37" s="7">
        <v>43320</v>
      </c>
      <c r="D37" t="s">
        <v>296</v>
      </c>
      <c r="E37" t="s">
        <v>380</v>
      </c>
      <c r="F37">
        <v>21.193999999999999</v>
      </c>
    </row>
    <row r="38" spans="1:6" x14ac:dyDescent="0.25">
      <c r="A38" t="str">
        <f t="shared" si="0"/>
        <v>4A43367</v>
      </c>
      <c r="B38" t="s">
        <v>155</v>
      </c>
      <c r="C38" s="7">
        <v>43367</v>
      </c>
      <c r="D38" t="s">
        <v>297</v>
      </c>
      <c r="E38" t="s">
        <v>380</v>
      </c>
      <c r="F38">
        <v>21.928999999999998</v>
      </c>
    </row>
    <row r="39" spans="1:6" x14ac:dyDescent="0.25">
      <c r="A39" t="str">
        <f t="shared" si="0"/>
        <v>4A43290</v>
      </c>
      <c r="B39" t="s">
        <v>155</v>
      </c>
      <c r="C39" s="7">
        <v>43290</v>
      </c>
      <c r="D39" t="s">
        <v>298</v>
      </c>
      <c r="E39" t="s">
        <v>380</v>
      </c>
      <c r="F39">
        <v>18.047999999999998</v>
      </c>
    </row>
    <row r="40" spans="1:6" x14ac:dyDescent="0.25">
      <c r="A40" t="str">
        <f t="shared" si="0"/>
        <v>4A43214</v>
      </c>
      <c r="B40" t="s">
        <v>155</v>
      </c>
      <c r="C40" s="7">
        <v>43214</v>
      </c>
      <c r="D40" t="s">
        <v>299</v>
      </c>
      <c r="E40" t="s">
        <v>380</v>
      </c>
      <c r="F40">
        <v>10.210000000000001</v>
      </c>
    </row>
    <row r="41" spans="1:6" x14ac:dyDescent="0.25">
      <c r="A41" t="str">
        <f t="shared" si="0"/>
        <v>4A43262</v>
      </c>
      <c r="B41" t="s">
        <v>155</v>
      </c>
      <c r="C41" s="7">
        <v>43262</v>
      </c>
      <c r="D41" t="s">
        <v>300</v>
      </c>
      <c r="E41" t="s">
        <v>380</v>
      </c>
      <c r="F41">
        <v>18.183</v>
      </c>
    </row>
    <row r="42" spans="1:6" x14ac:dyDescent="0.25">
      <c r="A42" t="str">
        <f t="shared" si="0"/>
        <v>4C43236</v>
      </c>
      <c r="B42" t="s">
        <v>162</v>
      </c>
      <c r="C42" s="7">
        <v>43236</v>
      </c>
      <c r="D42" t="s">
        <v>301</v>
      </c>
      <c r="E42" t="s">
        <v>380</v>
      </c>
      <c r="F42">
        <v>14.785</v>
      </c>
    </row>
    <row r="43" spans="1:6" x14ac:dyDescent="0.25">
      <c r="A43" t="str">
        <f t="shared" si="0"/>
        <v>4C43369</v>
      </c>
      <c r="B43" t="s">
        <v>162</v>
      </c>
      <c r="C43" s="7">
        <v>43369</v>
      </c>
      <c r="D43" t="s">
        <v>302</v>
      </c>
      <c r="E43" t="s">
        <v>380</v>
      </c>
      <c r="F43">
        <v>16.736000000000001</v>
      </c>
    </row>
    <row r="44" spans="1:6" x14ac:dyDescent="0.25">
      <c r="A44" t="str">
        <f t="shared" si="0"/>
        <v>4C24 Hr</v>
      </c>
      <c r="B44" t="s">
        <v>162</v>
      </c>
      <c r="C44" s="7" t="s">
        <v>130</v>
      </c>
      <c r="D44" t="s">
        <v>381</v>
      </c>
      <c r="E44" t="s">
        <v>380</v>
      </c>
      <c r="F44">
        <v>17.533000000000001</v>
      </c>
    </row>
    <row r="45" spans="1:6" x14ac:dyDescent="0.25">
      <c r="A45" t="str">
        <f t="shared" si="0"/>
        <v>4C43292</v>
      </c>
      <c r="B45" t="s">
        <v>162</v>
      </c>
      <c r="C45" s="7">
        <v>43292</v>
      </c>
      <c r="D45" t="s">
        <v>304</v>
      </c>
      <c r="E45" t="s">
        <v>380</v>
      </c>
      <c r="F45">
        <v>15.794</v>
      </c>
    </row>
    <row r="46" spans="1:6" x14ac:dyDescent="0.25">
      <c r="A46" t="str">
        <f t="shared" si="0"/>
        <v>4C43214</v>
      </c>
      <c r="B46" t="s">
        <v>162</v>
      </c>
      <c r="C46" s="7">
        <v>43214</v>
      </c>
      <c r="D46" t="s">
        <v>305</v>
      </c>
      <c r="E46" t="s">
        <v>380</v>
      </c>
      <c r="F46">
        <v>15.365</v>
      </c>
    </row>
    <row r="47" spans="1:6" x14ac:dyDescent="0.25">
      <c r="A47" t="str">
        <f t="shared" si="0"/>
        <v>4C0 Hr</v>
      </c>
      <c r="B47" t="s">
        <v>162</v>
      </c>
      <c r="C47" s="7" t="s">
        <v>126</v>
      </c>
      <c r="D47" t="s">
        <v>306</v>
      </c>
      <c r="E47" t="s">
        <v>380</v>
      </c>
      <c r="F47">
        <v>17.148</v>
      </c>
    </row>
    <row r="48" spans="1:6" x14ac:dyDescent="0.25">
      <c r="A48" t="str">
        <f t="shared" si="0"/>
        <v>4C12 Hr</v>
      </c>
      <c r="B48" t="s">
        <v>162</v>
      </c>
      <c r="C48" t="s">
        <v>128</v>
      </c>
      <c r="D48" t="s">
        <v>307</v>
      </c>
      <c r="E48" t="s">
        <v>380</v>
      </c>
      <c r="F48">
        <v>17.951000000000001</v>
      </c>
    </row>
    <row r="49" spans="1:6" x14ac:dyDescent="0.25">
      <c r="A49" t="str">
        <f t="shared" si="0"/>
        <v>4D43236</v>
      </c>
      <c r="B49" t="s">
        <v>170</v>
      </c>
      <c r="C49" s="7">
        <v>43236</v>
      </c>
      <c r="D49" t="s">
        <v>308</v>
      </c>
      <c r="E49" t="s">
        <v>380</v>
      </c>
      <c r="F49">
        <v>13.003</v>
      </c>
    </row>
    <row r="50" spans="1:6" x14ac:dyDescent="0.25">
      <c r="A50" t="str">
        <f t="shared" si="0"/>
        <v>4D43369</v>
      </c>
      <c r="B50" t="s">
        <v>170</v>
      </c>
      <c r="C50" s="7">
        <v>43369</v>
      </c>
      <c r="D50" t="s">
        <v>309</v>
      </c>
      <c r="E50" t="s">
        <v>380</v>
      </c>
      <c r="F50">
        <v>23.867000000000001</v>
      </c>
    </row>
    <row r="51" spans="1:6" x14ac:dyDescent="0.25">
      <c r="A51" t="str">
        <f t="shared" si="0"/>
        <v>4D43320</v>
      </c>
      <c r="B51" t="s">
        <v>170</v>
      </c>
      <c r="C51" s="7">
        <v>43320</v>
      </c>
      <c r="D51" t="s">
        <v>310</v>
      </c>
      <c r="E51" t="s">
        <v>380</v>
      </c>
      <c r="F51">
        <v>20.690999999999999</v>
      </c>
    </row>
    <row r="52" spans="1:6" x14ac:dyDescent="0.25">
      <c r="A52" t="str">
        <f t="shared" si="0"/>
        <v>4D43292</v>
      </c>
      <c r="B52" t="s">
        <v>170</v>
      </c>
      <c r="C52" s="7">
        <v>43292</v>
      </c>
      <c r="D52" t="s">
        <v>311</v>
      </c>
      <c r="E52" t="s">
        <v>380</v>
      </c>
      <c r="F52">
        <v>15.768000000000001</v>
      </c>
    </row>
    <row r="53" spans="1:6" x14ac:dyDescent="0.25">
      <c r="A53" t="str">
        <f t="shared" si="0"/>
        <v>4D43262</v>
      </c>
      <c r="B53" t="s">
        <v>170</v>
      </c>
      <c r="C53" s="7">
        <v>43262</v>
      </c>
      <c r="D53" t="s">
        <v>311</v>
      </c>
      <c r="E53" t="s">
        <v>380</v>
      </c>
      <c r="F53">
        <v>13.599</v>
      </c>
    </row>
    <row r="54" spans="1:6" x14ac:dyDescent="0.25">
      <c r="A54" t="str">
        <f t="shared" si="0"/>
        <v>4D43214</v>
      </c>
      <c r="B54" t="s">
        <v>170</v>
      </c>
      <c r="C54" s="7">
        <v>43214</v>
      </c>
      <c r="D54" t="s">
        <v>312</v>
      </c>
      <c r="E54" t="s">
        <v>380</v>
      </c>
      <c r="F54">
        <v>5.3849999999999998</v>
      </c>
    </row>
    <row r="55" spans="1:6" x14ac:dyDescent="0.25">
      <c r="A55" t="str">
        <f t="shared" si="0"/>
        <v>56A43236</v>
      </c>
      <c r="B55" t="s">
        <v>177</v>
      </c>
      <c r="C55" s="7">
        <v>43236</v>
      </c>
      <c r="D55" t="s">
        <v>313</v>
      </c>
      <c r="E55" t="s">
        <v>380</v>
      </c>
      <c r="F55">
        <v>22.085999999999999</v>
      </c>
    </row>
    <row r="56" spans="1:6" x14ac:dyDescent="0.25">
      <c r="A56" t="str">
        <f t="shared" si="0"/>
        <v>56A43369</v>
      </c>
      <c r="B56" t="s">
        <v>177</v>
      </c>
      <c r="C56" s="7">
        <v>43369</v>
      </c>
      <c r="D56" t="s">
        <v>314</v>
      </c>
      <c r="E56" t="s">
        <v>380</v>
      </c>
      <c r="F56">
        <v>30.637</v>
      </c>
    </row>
    <row r="57" spans="1:6" x14ac:dyDescent="0.25">
      <c r="A57" t="str">
        <f t="shared" si="0"/>
        <v>56A43292</v>
      </c>
      <c r="B57" t="s">
        <v>177</v>
      </c>
      <c r="C57" s="7">
        <v>43292</v>
      </c>
      <c r="D57" t="s">
        <v>315</v>
      </c>
      <c r="E57" t="s">
        <v>380</v>
      </c>
      <c r="F57">
        <v>23.640999999999998</v>
      </c>
    </row>
    <row r="58" spans="1:6" x14ac:dyDescent="0.25">
      <c r="A58" t="str">
        <f t="shared" si="0"/>
        <v>56A43215</v>
      </c>
      <c r="B58" t="s">
        <v>177</v>
      </c>
      <c r="C58" s="7">
        <v>43215</v>
      </c>
      <c r="D58" t="s">
        <v>316</v>
      </c>
      <c r="E58" t="s">
        <v>380</v>
      </c>
      <c r="F58">
        <v>17.634</v>
      </c>
    </row>
    <row r="59" spans="1:6" x14ac:dyDescent="0.25">
      <c r="A59" t="str">
        <f t="shared" si="0"/>
        <v>56A0 Hr</v>
      </c>
      <c r="B59" t="s">
        <v>177</v>
      </c>
      <c r="C59" t="s">
        <v>126</v>
      </c>
      <c r="D59" t="s">
        <v>317</v>
      </c>
      <c r="E59" t="s">
        <v>380</v>
      </c>
      <c r="F59">
        <v>26.542000000000002</v>
      </c>
    </row>
    <row r="60" spans="1:6" x14ac:dyDescent="0.25">
      <c r="A60" t="str">
        <f t="shared" si="0"/>
        <v>56A12 Hr</v>
      </c>
      <c r="B60" t="s">
        <v>177</v>
      </c>
      <c r="C60" t="s">
        <v>128</v>
      </c>
      <c r="D60" t="s">
        <v>318</v>
      </c>
      <c r="E60" t="s">
        <v>380</v>
      </c>
      <c r="F60">
        <v>26.280999999999999</v>
      </c>
    </row>
    <row r="61" spans="1:6" x14ac:dyDescent="0.25">
      <c r="A61" t="str">
        <f t="shared" si="0"/>
        <v>56A24 Hr</v>
      </c>
      <c r="B61" t="s">
        <v>177</v>
      </c>
      <c r="C61" t="s">
        <v>130</v>
      </c>
      <c r="D61" t="s">
        <v>319</v>
      </c>
      <c r="E61" t="s">
        <v>380</v>
      </c>
      <c r="F61">
        <v>24.872</v>
      </c>
    </row>
    <row r="62" spans="1:6" x14ac:dyDescent="0.25">
      <c r="A62" t="str">
        <f t="shared" si="0"/>
        <v>56B43369</v>
      </c>
      <c r="B62" t="s">
        <v>185</v>
      </c>
      <c r="C62" s="34">
        <v>43369</v>
      </c>
      <c r="D62" t="s">
        <v>320</v>
      </c>
      <c r="E62" t="s">
        <v>380</v>
      </c>
      <c r="F62">
        <v>39.587000000000003</v>
      </c>
    </row>
    <row r="63" spans="1:6" x14ac:dyDescent="0.25">
      <c r="A63" t="str">
        <f t="shared" si="0"/>
        <v>56B43236</v>
      </c>
      <c r="B63" t="s">
        <v>185</v>
      </c>
      <c r="C63" s="7">
        <v>43236</v>
      </c>
      <c r="D63" t="s">
        <v>321</v>
      </c>
      <c r="E63" t="s">
        <v>380</v>
      </c>
      <c r="F63">
        <v>31.821999999999999</v>
      </c>
    </row>
    <row r="64" spans="1:6" x14ac:dyDescent="0.25">
      <c r="A64" t="str">
        <f t="shared" si="0"/>
        <v>56B43292</v>
      </c>
      <c r="B64" t="s">
        <v>185</v>
      </c>
      <c r="C64" s="7">
        <v>43292</v>
      </c>
      <c r="D64" t="s">
        <v>322</v>
      </c>
      <c r="E64" t="s">
        <v>380</v>
      </c>
      <c r="F64">
        <v>32.741999999999997</v>
      </c>
    </row>
    <row r="65" spans="1:6" x14ac:dyDescent="0.25">
      <c r="A65" t="str">
        <f t="shared" si="0"/>
        <v>56B43215</v>
      </c>
      <c r="B65" t="s">
        <v>185</v>
      </c>
      <c r="C65" s="7">
        <v>43215</v>
      </c>
      <c r="D65" t="s">
        <v>323</v>
      </c>
      <c r="E65" t="s">
        <v>380</v>
      </c>
      <c r="F65">
        <v>24.155999999999999</v>
      </c>
    </row>
    <row r="66" spans="1:6" x14ac:dyDescent="0.25">
      <c r="A66" t="str">
        <f t="shared" si="0"/>
        <v>61B43235</v>
      </c>
      <c r="B66" t="s">
        <v>190</v>
      </c>
      <c r="C66" s="7">
        <v>43235</v>
      </c>
      <c r="D66" t="s">
        <v>324</v>
      </c>
      <c r="E66" t="s">
        <v>380</v>
      </c>
      <c r="F66">
        <v>17.765000000000001</v>
      </c>
    </row>
    <row r="67" spans="1:6" x14ac:dyDescent="0.25">
      <c r="A67" t="str">
        <f t="shared" ref="A67:A121" si="1">B67&amp;C67</f>
        <v>61B43368</v>
      </c>
      <c r="B67" t="s">
        <v>190</v>
      </c>
      <c r="C67" s="7">
        <v>43368</v>
      </c>
      <c r="D67" t="s">
        <v>325</v>
      </c>
      <c r="E67" t="s">
        <v>380</v>
      </c>
      <c r="F67">
        <v>32.244999999999997</v>
      </c>
    </row>
    <row r="68" spans="1:6" x14ac:dyDescent="0.25">
      <c r="A68" t="str">
        <f t="shared" si="1"/>
        <v>61B43291</v>
      </c>
      <c r="B68" t="s">
        <v>190</v>
      </c>
      <c r="C68" s="7">
        <v>43291</v>
      </c>
      <c r="D68" t="s">
        <v>326</v>
      </c>
      <c r="E68" t="s">
        <v>380</v>
      </c>
      <c r="F68">
        <v>25.207000000000001</v>
      </c>
    </row>
    <row r="69" spans="1:6" x14ac:dyDescent="0.25">
      <c r="A69" t="str">
        <f t="shared" si="1"/>
        <v>61B43223</v>
      </c>
      <c r="B69" t="s">
        <v>190</v>
      </c>
      <c r="C69" s="7">
        <v>43223</v>
      </c>
      <c r="D69" t="s">
        <v>327</v>
      </c>
      <c r="E69" t="s">
        <v>380</v>
      </c>
      <c r="F69">
        <v>16.332999999999998</v>
      </c>
    </row>
    <row r="70" spans="1:6" x14ac:dyDescent="0.25">
      <c r="A70" t="str">
        <f t="shared" si="1"/>
        <v>61C43368</v>
      </c>
      <c r="B70" t="s">
        <v>195</v>
      </c>
      <c r="C70" s="7">
        <v>43368</v>
      </c>
      <c r="D70" t="s">
        <v>328</v>
      </c>
      <c r="E70" t="s">
        <v>380</v>
      </c>
      <c r="F70">
        <v>25.265999999999998</v>
      </c>
    </row>
    <row r="71" spans="1:6" x14ac:dyDescent="0.25">
      <c r="A71" t="str">
        <f t="shared" si="1"/>
        <v>61C43235</v>
      </c>
      <c r="B71" t="s">
        <v>195</v>
      </c>
      <c r="C71" s="7">
        <v>43235</v>
      </c>
      <c r="D71" t="s">
        <v>329</v>
      </c>
      <c r="E71" t="s">
        <v>380</v>
      </c>
      <c r="F71">
        <v>28.669</v>
      </c>
    </row>
    <row r="72" spans="1:6" x14ac:dyDescent="0.25">
      <c r="A72" t="str">
        <f t="shared" si="1"/>
        <v>61C43223</v>
      </c>
      <c r="B72" t="s">
        <v>195</v>
      </c>
      <c r="C72" s="7">
        <v>43223</v>
      </c>
      <c r="D72" t="s">
        <v>330</v>
      </c>
      <c r="E72" t="s">
        <v>380</v>
      </c>
      <c r="F72">
        <v>21.224</v>
      </c>
    </row>
    <row r="73" spans="1:6" x14ac:dyDescent="0.25">
      <c r="A73" t="str">
        <f t="shared" si="1"/>
        <v>61C43291</v>
      </c>
      <c r="B73" t="s">
        <v>195</v>
      </c>
      <c r="C73" s="7">
        <v>43291</v>
      </c>
      <c r="D73" t="s">
        <v>331</v>
      </c>
      <c r="E73" t="s">
        <v>380</v>
      </c>
      <c r="F73">
        <v>21.847999999999999</v>
      </c>
    </row>
    <row r="74" spans="1:6" x14ac:dyDescent="0.25">
      <c r="A74" t="str">
        <f t="shared" si="1"/>
        <v>62B43368</v>
      </c>
      <c r="B74" t="s">
        <v>200</v>
      </c>
      <c r="C74" s="7">
        <v>43368</v>
      </c>
      <c r="D74" t="s">
        <v>332</v>
      </c>
      <c r="E74" t="s">
        <v>380</v>
      </c>
      <c r="F74">
        <v>33.408000000000001</v>
      </c>
    </row>
    <row r="75" spans="1:6" x14ac:dyDescent="0.25">
      <c r="A75" t="str">
        <f t="shared" si="1"/>
        <v>62B43235</v>
      </c>
      <c r="B75" t="s">
        <v>200</v>
      </c>
      <c r="C75" s="7">
        <v>43235</v>
      </c>
      <c r="D75" t="s">
        <v>333</v>
      </c>
      <c r="E75" t="s">
        <v>380</v>
      </c>
      <c r="F75">
        <v>24.344999999999999</v>
      </c>
    </row>
    <row r="76" spans="1:6" x14ac:dyDescent="0.25">
      <c r="A76" t="str">
        <f t="shared" si="1"/>
        <v>62B43223</v>
      </c>
      <c r="B76" t="s">
        <v>200</v>
      </c>
      <c r="C76" s="7">
        <v>43223</v>
      </c>
      <c r="D76" t="s">
        <v>334</v>
      </c>
      <c r="E76" t="s">
        <v>380</v>
      </c>
      <c r="F76">
        <v>25.07</v>
      </c>
    </row>
    <row r="77" spans="1:6" x14ac:dyDescent="0.25">
      <c r="A77" t="str">
        <f t="shared" si="1"/>
        <v>62C43368</v>
      </c>
      <c r="B77" t="s">
        <v>205</v>
      </c>
      <c r="C77" s="7">
        <v>43368</v>
      </c>
      <c r="D77" t="s">
        <v>335</v>
      </c>
      <c r="E77" t="s">
        <v>380</v>
      </c>
      <c r="F77">
        <v>22.12</v>
      </c>
    </row>
    <row r="78" spans="1:6" x14ac:dyDescent="0.25">
      <c r="A78" t="str">
        <f t="shared" si="1"/>
        <v>62C43235</v>
      </c>
      <c r="B78" t="s">
        <v>205</v>
      </c>
      <c r="C78" s="7">
        <v>43235</v>
      </c>
      <c r="D78" t="s">
        <v>336</v>
      </c>
      <c r="E78" t="s">
        <v>380</v>
      </c>
      <c r="F78">
        <v>25.091999999999999</v>
      </c>
    </row>
    <row r="79" spans="1:6" x14ac:dyDescent="0.25">
      <c r="A79" t="str">
        <f t="shared" si="1"/>
        <v>62C43291</v>
      </c>
      <c r="B79" t="s">
        <v>205</v>
      </c>
      <c r="C79" s="7">
        <v>43291</v>
      </c>
      <c r="D79" t="s">
        <v>337</v>
      </c>
      <c r="E79" t="s">
        <v>380</v>
      </c>
      <c r="F79">
        <v>21.372</v>
      </c>
    </row>
    <row r="80" spans="1:6" x14ac:dyDescent="0.25">
      <c r="A80" t="str">
        <f t="shared" si="1"/>
        <v>62E43223</v>
      </c>
      <c r="B80" t="s">
        <v>210</v>
      </c>
      <c r="C80" s="7">
        <v>43223</v>
      </c>
      <c r="D80" t="s">
        <v>338</v>
      </c>
      <c r="E80" t="s">
        <v>380</v>
      </c>
      <c r="F80">
        <v>34.186999999999998</v>
      </c>
    </row>
    <row r="81" spans="1:6" x14ac:dyDescent="0.25">
      <c r="A81" t="str">
        <f t="shared" si="1"/>
        <v>62E43368</v>
      </c>
      <c r="B81" t="s">
        <v>210</v>
      </c>
      <c r="C81" s="7">
        <v>43368</v>
      </c>
      <c r="D81" t="s">
        <v>339</v>
      </c>
      <c r="E81" t="s">
        <v>380</v>
      </c>
      <c r="F81">
        <v>66.540000000000006</v>
      </c>
    </row>
    <row r="82" spans="1:6" x14ac:dyDescent="0.25">
      <c r="A82" t="str">
        <f t="shared" si="1"/>
        <v>62E43235</v>
      </c>
      <c r="B82" t="s">
        <v>210</v>
      </c>
      <c r="C82" s="7">
        <v>43235</v>
      </c>
      <c r="D82" t="s">
        <v>340</v>
      </c>
      <c r="E82" t="s">
        <v>380</v>
      </c>
      <c r="F82">
        <v>39.732999999999997</v>
      </c>
    </row>
    <row r="83" spans="1:6" x14ac:dyDescent="0.25">
      <c r="A83" t="str">
        <f t="shared" si="1"/>
        <v>62E43297</v>
      </c>
      <c r="B83" t="s">
        <v>210</v>
      </c>
      <c r="C83" s="7">
        <v>43297</v>
      </c>
      <c r="D83" t="s">
        <v>341</v>
      </c>
      <c r="E83" t="s">
        <v>380</v>
      </c>
      <c r="F83">
        <v>52.871000000000002</v>
      </c>
    </row>
    <row r="84" spans="1:6" x14ac:dyDescent="0.25">
      <c r="A84" t="str">
        <f t="shared" si="1"/>
        <v>62C43223</v>
      </c>
      <c r="B84" t="s">
        <v>205</v>
      </c>
      <c r="C84" s="7">
        <v>43223</v>
      </c>
      <c r="D84" t="s">
        <v>342</v>
      </c>
      <c r="E84" t="s">
        <v>380</v>
      </c>
      <c r="F84">
        <v>24.494</v>
      </c>
    </row>
    <row r="85" spans="1:6" x14ac:dyDescent="0.25">
      <c r="A85" t="str">
        <f t="shared" si="1"/>
        <v>66A43367</v>
      </c>
      <c r="B85" t="s">
        <v>215</v>
      </c>
      <c r="C85" s="7">
        <v>43367</v>
      </c>
      <c r="D85" t="s">
        <v>343</v>
      </c>
      <c r="E85" t="s">
        <v>380</v>
      </c>
      <c r="F85">
        <v>29.478000000000002</v>
      </c>
    </row>
    <row r="86" spans="1:6" x14ac:dyDescent="0.25">
      <c r="A86" t="str">
        <f t="shared" si="1"/>
        <v>66A43234</v>
      </c>
      <c r="B86" t="s">
        <v>215</v>
      </c>
      <c r="C86" s="7">
        <v>43234</v>
      </c>
      <c r="D86" t="s">
        <v>344</v>
      </c>
      <c r="E86" t="s">
        <v>380</v>
      </c>
      <c r="F86">
        <v>15.224</v>
      </c>
    </row>
    <row r="87" spans="1:6" x14ac:dyDescent="0.25">
      <c r="A87" t="str">
        <f t="shared" si="1"/>
        <v>66A43321</v>
      </c>
      <c r="B87" t="s">
        <v>215</v>
      </c>
      <c r="C87" s="7">
        <v>43321</v>
      </c>
      <c r="D87" t="s">
        <v>345</v>
      </c>
      <c r="E87" t="s">
        <v>380</v>
      </c>
      <c r="F87">
        <v>33.576000000000001</v>
      </c>
    </row>
    <row r="88" spans="1:6" x14ac:dyDescent="0.25">
      <c r="A88" t="str">
        <f t="shared" si="1"/>
        <v>66A43217</v>
      </c>
      <c r="B88" t="s">
        <v>215</v>
      </c>
      <c r="C88" s="7">
        <v>43217</v>
      </c>
      <c r="D88" t="s">
        <v>346</v>
      </c>
      <c r="E88" t="s">
        <v>380</v>
      </c>
      <c r="F88">
        <v>14.499000000000001</v>
      </c>
    </row>
    <row r="89" spans="1:6" x14ac:dyDescent="0.25">
      <c r="A89" t="str">
        <f t="shared" si="1"/>
        <v>66A43263</v>
      </c>
      <c r="B89" t="s">
        <v>215</v>
      </c>
      <c r="C89" s="7">
        <v>43263</v>
      </c>
      <c r="D89" t="s">
        <v>347</v>
      </c>
      <c r="E89" t="s">
        <v>380</v>
      </c>
      <c r="F89">
        <v>28.332000000000001</v>
      </c>
    </row>
    <row r="90" spans="1:6" x14ac:dyDescent="0.25">
      <c r="A90" t="str">
        <f t="shared" si="1"/>
        <v>66A43234</v>
      </c>
      <c r="B90" t="s">
        <v>215</v>
      </c>
      <c r="C90" s="7">
        <v>43234</v>
      </c>
      <c r="D90" t="s">
        <v>344</v>
      </c>
      <c r="E90" t="s">
        <v>380</v>
      </c>
      <c r="F90">
        <v>17.536999999999999</v>
      </c>
    </row>
    <row r="91" spans="1:6" x14ac:dyDescent="0.25">
      <c r="A91" t="str">
        <f t="shared" si="1"/>
        <v>66A43290</v>
      </c>
      <c r="B91" t="s">
        <v>215</v>
      </c>
      <c r="C91" s="7">
        <v>43290</v>
      </c>
      <c r="D91" t="s">
        <v>348</v>
      </c>
      <c r="E91" t="s">
        <v>380</v>
      </c>
      <c r="F91">
        <v>33.258000000000003</v>
      </c>
    </row>
    <row r="92" spans="1:6" x14ac:dyDescent="0.25">
      <c r="A92" t="str">
        <f t="shared" si="1"/>
        <v>66B43217</v>
      </c>
      <c r="B92" t="s">
        <v>222</v>
      </c>
      <c r="C92" s="7">
        <v>43217</v>
      </c>
      <c r="D92" t="s">
        <v>349</v>
      </c>
      <c r="E92" t="s">
        <v>380</v>
      </c>
      <c r="F92">
        <v>25.995000000000001</v>
      </c>
    </row>
    <row r="93" spans="1:6" x14ac:dyDescent="0.25">
      <c r="A93" t="str">
        <f t="shared" si="1"/>
        <v>66B43367</v>
      </c>
      <c r="B93" t="s">
        <v>222</v>
      </c>
      <c r="C93" s="7">
        <v>43367</v>
      </c>
      <c r="D93" t="s">
        <v>350</v>
      </c>
      <c r="E93" t="s">
        <v>380</v>
      </c>
      <c r="F93">
        <v>31.904</v>
      </c>
    </row>
    <row r="94" spans="1:6" x14ac:dyDescent="0.25">
      <c r="A94" t="str">
        <f t="shared" si="1"/>
        <v>66B43290</v>
      </c>
      <c r="B94" t="s">
        <v>222</v>
      </c>
      <c r="C94" s="7">
        <v>43290</v>
      </c>
      <c r="D94" t="s">
        <v>351</v>
      </c>
      <c r="E94" t="s">
        <v>380</v>
      </c>
      <c r="F94">
        <v>30.198</v>
      </c>
    </row>
    <row r="95" spans="1:6" x14ac:dyDescent="0.25">
      <c r="A95" t="str">
        <f t="shared" si="1"/>
        <v>66B43234</v>
      </c>
      <c r="B95" t="s">
        <v>222</v>
      </c>
      <c r="C95" s="7">
        <v>43234</v>
      </c>
      <c r="D95" t="s">
        <v>352</v>
      </c>
      <c r="E95" t="s">
        <v>380</v>
      </c>
      <c r="F95">
        <v>29.08</v>
      </c>
    </row>
    <row r="96" spans="1:6" x14ac:dyDescent="0.25">
      <c r="A96" t="str">
        <f t="shared" si="1"/>
        <v>66C43217</v>
      </c>
      <c r="B96" t="s">
        <v>227</v>
      </c>
      <c r="C96" s="7">
        <v>43217</v>
      </c>
      <c r="D96" t="s">
        <v>353</v>
      </c>
      <c r="E96" t="s">
        <v>380</v>
      </c>
      <c r="F96">
        <v>18.405999999999999</v>
      </c>
    </row>
    <row r="97" spans="1:6" x14ac:dyDescent="0.25">
      <c r="A97" t="str">
        <f t="shared" si="1"/>
        <v>66C43321</v>
      </c>
      <c r="B97" t="s">
        <v>227</v>
      </c>
      <c r="C97" s="7">
        <v>43321</v>
      </c>
      <c r="D97" t="s">
        <v>354</v>
      </c>
      <c r="E97" t="s">
        <v>380</v>
      </c>
      <c r="F97">
        <v>18.548999999999999</v>
      </c>
    </row>
    <row r="98" spans="1:6" x14ac:dyDescent="0.25">
      <c r="A98" t="str">
        <f t="shared" si="1"/>
        <v>66C43367</v>
      </c>
      <c r="B98" t="s">
        <v>227</v>
      </c>
      <c r="C98" s="7">
        <v>43367</v>
      </c>
      <c r="D98" t="s">
        <v>355</v>
      </c>
      <c r="E98" t="s">
        <v>380</v>
      </c>
      <c r="F98">
        <v>20.161999999999999</v>
      </c>
    </row>
    <row r="99" spans="1:6" x14ac:dyDescent="0.25">
      <c r="A99" t="str">
        <f t="shared" si="1"/>
        <v>66C43290</v>
      </c>
      <c r="B99" t="s">
        <v>227</v>
      </c>
      <c r="C99" s="7">
        <v>43290</v>
      </c>
      <c r="D99" t="s">
        <v>356</v>
      </c>
      <c r="E99" t="s">
        <v>380</v>
      </c>
      <c r="F99">
        <v>17.234999999999999</v>
      </c>
    </row>
    <row r="100" spans="1:6" x14ac:dyDescent="0.25">
      <c r="A100" t="str">
        <f t="shared" si="1"/>
        <v>66C43263</v>
      </c>
      <c r="B100" t="s">
        <v>227</v>
      </c>
      <c r="C100" s="7">
        <v>43263</v>
      </c>
      <c r="D100" t="s">
        <v>357</v>
      </c>
      <c r="E100" t="s">
        <v>380</v>
      </c>
      <c r="F100">
        <v>17.530999999999999</v>
      </c>
    </row>
    <row r="101" spans="1:6" x14ac:dyDescent="0.25">
      <c r="A101" t="str">
        <f t="shared" si="1"/>
        <v>62B43291</v>
      </c>
      <c r="B101" t="s">
        <v>200</v>
      </c>
      <c r="C101" s="7">
        <v>43291</v>
      </c>
      <c r="D101" t="s">
        <v>382</v>
      </c>
      <c r="E101" t="s">
        <v>380</v>
      </c>
      <c r="F101">
        <v>28.402000000000001</v>
      </c>
    </row>
    <row r="102" spans="1:6" x14ac:dyDescent="0.25">
      <c r="A102" t="str">
        <f t="shared" si="1"/>
        <v>P143325</v>
      </c>
      <c r="B102" t="s">
        <v>234</v>
      </c>
      <c r="C102" s="7">
        <v>43325</v>
      </c>
      <c r="D102" t="s">
        <v>359</v>
      </c>
      <c r="E102" t="s">
        <v>380</v>
      </c>
      <c r="F102">
        <v>30.504000000000001</v>
      </c>
    </row>
    <row r="103" spans="1:6" x14ac:dyDescent="0.25">
      <c r="A103" t="str">
        <f t="shared" si="1"/>
        <v>P10343326</v>
      </c>
      <c r="B103" t="s">
        <v>235</v>
      </c>
      <c r="C103" s="7">
        <v>43326</v>
      </c>
      <c r="D103" t="s">
        <v>360</v>
      </c>
      <c r="E103" t="s">
        <v>380</v>
      </c>
      <c r="F103">
        <v>38.526000000000003</v>
      </c>
    </row>
    <row r="104" spans="1:6" x14ac:dyDescent="0.25">
      <c r="A104" t="str">
        <f t="shared" si="1"/>
        <v>P10943326</v>
      </c>
      <c r="B104" t="s">
        <v>236</v>
      </c>
      <c r="C104" s="7">
        <v>43326</v>
      </c>
      <c r="D104" t="s">
        <v>361</v>
      </c>
      <c r="E104" t="s">
        <v>380</v>
      </c>
      <c r="F104">
        <v>27.966000000000001</v>
      </c>
    </row>
    <row r="105" spans="1:6" x14ac:dyDescent="0.25">
      <c r="A105" t="str">
        <f t="shared" si="1"/>
        <v>P11843326</v>
      </c>
      <c r="B105" t="s">
        <v>237</v>
      </c>
      <c r="C105" s="7">
        <v>43326</v>
      </c>
      <c r="D105" t="s">
        <v>362</v>
      </c>
      <c r="E105" t="s">
        <v>380</v>
      </c>
      <c r="F105">
        <v>45.347999999999999</v>
      </c>
    </row>
    <row r="106" spans="1:6" x14ac:dyDescent="0.25">
      <c r="A106" t="str">
        <f t="shared" si="1"/>
        <v>P12043326</v>
      </c>
      <c r="B106" t="s">
        <v>238</v>
      </c>
      <c r="C106" s="7">
        <v>43326</v>
      </c>
      <c r="D106" t="s">
        <v>363</v>
      </c>
      <c r="E106" t="s">
        <v>380</v>
      </c>
      <c r="F106">
        <v>37.695</v>
      </c>
    </row>
    <row r="107" spans="1:6" x14ac:dyDescent="0.25">
      <c r="A107" t="str">
        <f t="shared" si="1"/>
        <v>P12443326</v>
      </c>
      <c r="B107" t="s">
        <v>239</v>
      </c>
      <c r="C107" s="7">
        <v>43326</v>
      </c>
      <c r="D107" t="s">
        <v>364</v>
      </c>
      <c r="E107" t="s">
        <v>380</v>
      </c>
      <c r="F107">
        <v>37.338999999999999</v>
      </c>
    </row>
    <row r="108" spans="1:6" x14ac:dyDescent="0.25">
      <c r="A108" t="str">
        <f t="shared" si="1"/>
        <v>P12543325</v>
      </c>
      <c r="B108" t="s">
        <v>240</v>
      </c>
      <c r="C108" s="7">
        <v>43325</v>
      </c>
      <c r="D108" t="s">
        <v>365</v>
      </c>
      <c r="E108" t="s">
        <v>380</v>
      </c>
      <c r="F108">
        <v>36.515000000000001</v>
      </c>
    </row>
    <row r="109" spans="1:6" x14ac:dyDescent="0.25">
      <c r="A109" t="str">
        <f t="shared" si="1"/>
        <v>P2043329</v>
      </c>
      <c r="B109" t="s">
        <v>241</v>
      </c>
      <c r="C109" s="7">
        <v>43329</v>
      </c>
      <c r="D109" t="s">
        <v>366</v>
      </c>
      <c r="E109" t="s">
        <v>380</v>
      </c>
      <c r="F109">
        <v>36.597999999999999</v>
      </c>
    </row>
    <row r="110" spans="1:6" x14ac:dyDescent="0.25">
      <c r="A110" t="str">
        <f t="shared" si="1"/>
        <v>P2643329</v>
      </c>
      <c r="B110" t="s">
        <v>242</v>
      </c>
      <c r="C110" s="7">
        <v>43329</v>
      </c>
      <c r="D110" t="s">
        <v>367</v>
      </c>
      <c r="E110" t="s">
        <v>380</v>
      </c>
      <c r="F110">
        <v>50.244</v>
      </c>
    </row>
    <row r="111" spans="1:6" x14ac:dyDescent="0.25">
      <c r="A111" t="str">
        <f t="shared" si="1"/>
        <v>P3543328</v>
      </c>
      <c r="B111" t="s">
        <v>243</v>
      </c>
      <c r="C111" s="7">
        <v>43328</v>
      </c>
      <c r="D111" t="s">
        <v>368</v>
      </c>
      <c r="E111" t="s">
        <v>380</v>
      </c>
      <c r="F111">
        <v>56.078000000000003</v>
      </c>
    </row>
    <row r="112" spans="1:6" x14ac:dyDescent="0.25">
      <c r="A112" t="str">
        <f t="shared" si="1"/>
        <v>P3743328</v>
      </c>
      <c r="B112" t="s">
        <v>244</v>
      </c>
      <c r="C112" s="7">
        <v>43328</v>
      </c>
      <c r="D112" t="s">
        <v>369</v>
      </c>
      <c r="E112" t="s">
        <v>380</v>
      </c>
      <c r="F112">
        <v>7.5819999999999999</v>
      </c>
    </row>
    <row r="113" spans="1:6" x14ac:dyDescent="0.25">
      <c r="A113" t="str">
        <f t="shared" si="1"/>
        <v>P5043325</v>
      </c>
      <c r="B113" t="s">
        <v>245</v>
      </c>
      <c r="C113" s="7">
        <v>43325</v>
      </c>
      <c r="D113" t="s">
        <v>370</v>
      </c>
      <c r="E113" t="s">
        <v>380</v>
      </c>
      <c r="F113">
        <v>45.115000000000002</v>
      </c>
    </row>
    <row r="114" spans="1:6" x14ac:dyDescent="0.25">
      <c r="A114" t="str">
        <f t="shared" si="1"/>
        <v>P6643327</v>
      </c>
      <c r="B114" t="s">
        <v>246</v>
      </c>
      <c r="C114" s="7">
        <v>43327</v>
      </c>
      <c r="D114" t="s">
        <v>371</v>
      </c>
      <c r="E114" t="s">
        <v>380</v>
      </c>
      <c r="F114">
        <v>55.354999999999997</v>
      </c>
    </row>
    <row r="115" spans="1:6" x14ac:dyDescent="0.25">
      <c r="A115" t="str">
        <f t="shared" si="1"/>
        <v>P6743329</v>
      </c>
      <c r="B115" t="s">
        <v>247</v>
      </c>
      <c r="C115" s="7">
        <v>43329</v>
      </c>
      <c r="D115" t="s">
        <v>372</v>
      </c>
      <c r="E115" t="s">
        <v>380</v>
      </c>
      <c r="F115">
        <v>50.898000000000003</v>
      </c>
    </row>
    <row r="116" spans="1:6" x14ac:dyDescent="0.25">
      <c r="A116" t="str">
        <f t="shared" si="1"/>
        <v>P7043327</v>
      </c>
      <c r="B116" t="s">
        <v>248</v>
      </c>
      <c r="C116" s="7">
        <v>43327</v>
      </c>
      <c r="D116" t="s">
        <v>373</v>
      </c>
      <c r="E116" t="s">
        <v>380</v>
      </c>
      <c r="F116">
        <v>45.622</v>
      </c>
    </row>
    <row r="117" spans="1:6" x14ac:dyDescent="0.25">
      <c r="A117" t="str">
        <f t="shared" si="1"/>
        <v>P7543327</v>
      </c>
      <c r="B117" t="s">
        <v>249</v>
      </c>
      <c r="C117" s="7">
        <v>43327</v>
      </c>
      <c r="D117" t="s">
        <v>374</v>
      </c>
      <c r="E117" t="s">
        <v>380</v>
      </c>
      <c r="F117">
        <v>35.093000000000004</v>
      </c>
    </row>
    <row r="118" spans="1:6" x14ac:dyDescent="0.25">
      <c r="A118" t="str">
        <f t="shared" si="1"/>
        <v>P8843327</v>
      </c>
      <c r="B118" t="s">
        <v>250</v>
      </c>
      <c r="C118" s="7">
        <v>43327</v>
      </c>
      <c r="D118" t="s">
        <v>375</v>
      </c>
      <c r="E118" t="s">
        <v>380</v>
      </c>
      <c r="F118">
        <v>30.722999999999999</v>
      </c>
    </row>
    <row r="119" spans="1:6" x14ac:dyDescent="0.25">
      <c r="A119" t="str">
        <f t="shared" si="1"/>
        <v>P9043329</v>
      </c>
      <c r="B119" t="s">
        <v>251</v>
      </c>
      <c r="C119" s="7">
        <v>43329</v>
      </c>
      <c r="D119" t="s">
        <v>376</v>
      </c>
      <c r="E119" t="s">
        <v>380</v>
      </c>
      <c r="F119">
        <v>34.155000000000001</v>
      </c>
    </row>
    <row r="120" spans="1:6" x14ac:dyDescent="0.25">
      <c r="A120" t="str">
        <f t="shared" si="1"/>
        <v>P9743328</v>
      </c>
      <c r="B120" t="s">
        <v>252</v>
      </c>
      <c r="C120" s="7">
        <v>43328</v>
      </c>
      <c r="D120" t="s">
        <v>377</v>
      </c>
      <c r="E120" t="s">
        <v>380</v>
      </c>
      <c r="F120">
        <v>30.564</v>
      </c>
    </row>
    <row r="121" spans="1:6" x14ac:dyDescent="0.25">
      <c r="A121" t="str">
        <f t="shared" si="1"/>
        <v>P9843328</v>
      </c>
      <c r="B121" t="s">
        <v>253</v>
      </c>
      <c r="C121" s="7">
        <v>43328</v>
      </c>
      <c r="D121" t="s">
        <v>378</v>
      </c>
      <c r="E121" t="s">
        <v>380</v>
      </c>
      <c r="F121">
        <v>37.124000000000002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XFD1048576"/>
    </sheetView>
  </sheetViews>
  <sheetFormatPr defaultColWidth="8.85546875" defaultRowHeight="15"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vt:lpstr>
      <vt:lpstr>Triplex</vt:lpstr>
      <vt:lpstr>TN_TP</vt:lpstr>
      <vt:lpstr>TIC</vt:lpstr>
      <vt:lpstr>TOC</vt:lpstr>
      <vt:lpstr>GHG</vt:lpstr>
    </vt:vector>
  </TitlesOfParts>
  <Manager/>
  <Company>University of Regina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Finlaylab</dc:creator>
  <cp:keywords/>
  <dc:description/>
  <cp:lastModifiedBy>limno</cp:lastModifiedBy>
  <cp:revision/>
  <dcterms:created xsi:type="dcterms:W3CDTF">2018-05-02T17:51:13Z</dcterms:created>
  <dcterms:modified xsi:type="dcterms:W3CDTF">2021-05-11T22:18:58Z</dcterms:modified>
  <cp:category/>
  <cp:contentStatus/>
</cp:coreProperties>
</file>