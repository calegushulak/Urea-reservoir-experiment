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leg\Dropbox\University of Regina PostDoc\Urea dugouts\Manuscript materials\Data for upload\"/>
    </mc:Choice>
  </mc:AlternateContent>
  <xr:revisionPtr revIDLastSave="0" documentId="8_{2E78E74D-2438-406F-97BF-F846C093557F}" xr6:coauthVersionLast="47" xr6:coauthVersionMax="47" xr10:uidLastSave="{00000000-0000-0000-0000-000000000000}"/>
  <bookViews>
    <workbookView xWindow="-108" yWindow="-108" windowWidth="23256" windowHeight="12576" activeTab="4" xr2:uid="{5A934773-68FE-DD45-8E58-875C13184137}"/>
  </bookViews>
  <sheets>
    <sheet name="Legend" sheetId="4" r:id="rId1"/>
    <sheet name="Mortalities" sheetId="2" r:id="rId2"/>
    <sheet name="Water Quality" sheetId="3" r:id="rId3"/>
    <sheet name="Termination" sheetId="1" r:id="rId4"/>
    <sheet name="Summar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2" l="1"/>
  <c r="G4" i="2" s="1"/>
  <c r="F5" i="2"/>
  <c r="G5" i="2" s="1"/>
  <c r="F6" i="2"/>
  <c r="G6" i="2" s="1"/>
  <c r="F7" i="2"/>
  <c r="G7" i="2" s="1"/>
  <c r="F8" i="2"/>
  <c r="G8" i="2" s="1"/>
  <c r="F9" i="2"/>
  <c r="G9" i="2" s="1"/>
  <c r="F10" i="2"/>
  <c r="G10" i="2" s="1"/>
  <c r="F11" i="2"/>
  <c r="G11" i="2" s="1"/>
  <c r="F12" i="2"/>
  <c r="G12" i="2" s="1"/>
  <c r="F13" i="2"/>
  <c r="G13" i="2" s="1"/>
  <c r="F14" i="2"/>
  <c r="G14" i="2" s="1"/>
  <c r="F15" i="2"/>
  <c r="G15" i="2" s="1"/>
  <c r="F16" i="2"/>
  <c r="G16" i="2" s="1"/>
  <c r="F17" i="2"/>
  <c r="G17" i="2" s="1"/>
  <c r="F18" i="2"/>
  <c r="G18" i="2" s="1"/>
  <c r="F19" i="2"/>
  <c r="G19" i="2" s="1"/>
  <c r="F20" i="2"/>
  <c r="G20" i="2" s="1"/>
  <c r="F21" i="2"/>
  <c r="G21" i="2" s="1"/>
  <c r="F22" i="2"/>
  <c r="G22" i="2" s="1"/>
  <c r="F23" i="2"/>
  <c r="G23" i="2" s="1"/>
  <c r="F3" i="2"/>
  <c r="G3" i="2" s="1"/>
  <c r="G205" i="1"/>
  <c r="G4" i="1"/>
  <c r="J205" i="1"/>
  <c r="I205" i="1"/>
  <c r="H205" i="1"/>
  <c r="J195" i="1"/>
  <c r="I195" i="1"/>
  <c r="H195" i="1"/>
  <c r="G195" i="1"/>
  <c r="J185" i="1"/>
  <c r="I185" i="1"/>
  <c r="H185" i="1"/>
  <c r="G185" i="1"/>
  <c r="J175" i="1"/>
  <c r="I175" i="1"/>
  <c r="H175" i="1"/>
  <c r="G175" i="1"/>
  <c r="J165" i="1"/>
  <c r="I165" i="1"/>
  <c r="H165" i="1"/>
  <c r="G165" i="1"/>
  <c r="J155" i="1"/>
  <c r="I155" i="1"/>
  <c r="N155" i="1" s="1"/>
  <c r="F8" i="5" s="1"/>
  <c r="H155" i="1"/>
  <c r="G155" i="1"/>
  <c r="M155" i="1" s="1"/>
  <c r="E8" i="5" s="1"/>
  <c r="J145" i="1"/>
  <c r="I145" i="1"/>
  <c r="H145" i="1"/>
  <c r="G145" i="1"/>
  <c r="J135" i="1"/>
  <c r="I135" i="1"/>
  <c r="H135" i="1"/>
  <c r="G135" i="1"/>
  <c r="J125" i="1"/>
  <c r="I125" i="1"/>
  <c r="O125" i="1" s="1"/>
  <c r="G7" i="5" s="1"/>
  <c r="H125" i="1"/>
  <c r="G125" i="1"/>
  <c r="M125" i="1" s="1"/>
  <c r="E7" i="5" s="1"/>
  <c r="J115" i="1"/>
  <c r="I115" i="1"/>
  <c r="H115" i="1"/>
  <c r="G115" i="1"/>
  <c r="J105" i="1"/>
  <c r="I105" i="1"/>
  <c r="H105" i="1"/>
  <c r="G105" i="1"/>
  <c r="J95" i="1"/>
  <c r="I95" i="1"/>
  <c r="N95" i="1" s="1"/>
  <c r="F6" i="5" s="1"/>
  <c r="H95" i="1"/>
  <c r="G95" i="1"/>
  <c r="M95" i="1" s="1"/>
  <c r="E6" i="5" s="1"/>
  <c r="J85" i="1"/>
  <c r="I85" i="1"/>
  <c r="H85" i="1"/>
  <c r="G85" i="1"/>
  <c r="J75" i="1"/>
  <c r="I75" i="1"/>
  <c r="H75" i="1"/>
  <c r="G75" i="1"/>
  <c r="J65" i="1"/>
  <c r="I65" i="1"/>
  <c r="O65" i="1" s="1"/>
  <c r="G5" i="5" s="1"/>
  <c r="H65" i="1"/>
  <c r="G65" i="1"/>
  <c r="L65" i="1" s="1"/>
  <c r="D5" i="5" s="1"/>
  <c r="J24" i="1"/>
  <c r="I24" i="1"/>
  <c r="H24" i="1"/>
  <c r="G24" i="1"/>
  <c r="G35" i="1"/>
  <c r="J55" i="1"/>
  <c r="I55" i="1"/>
  <c r="H55" i="1"/>
  <c r="G55" i="1"/>
  <c r="J45" i="1"/>
  <c r="I45" i="1"/>
  <c r="H45" i="1"/>
  <c r="G45" i="1"/>
  <c r="J35" i="1"/>
  <c r="I35" i="1"/>
  <c r="N35" i="1" s="1"/>
  <c r="F4" i="5" s="1"/>
  <c r="H35" i="1"/>
  <c r="J14" i="1"/>
  <c r="I14" i="1"/>
  <c r="H14" i="1"/>
  <c r="G14" i="1"/>
  <c r="J4" i="1"/>
  <c r="I4" i="1"/>
  <c r="N4" i="1" s="1"/>
  <c r="F3" i="5" s="1"/>
  <c r="H4" i="1"/>
  <c r="B7" i="5" l="1"/>
  <c r="C7" i="5"/>
  <c r="C8" i="5"/>
  <c r="B8" i="5"/>
  <c r="C4" i="5"/>
  <c r="B4" i="5"/>
  <c r="C9" i="5"/>
  <c r="B9" i="5"/>
  <c r="B5" i="5"/>
  <c r="C5" i="5"/>
  <c r="B3" i="5"/>
  <c r="C3" i="5"/>
  <c r="C6" i="5"/>
  <c r="B6" i="5"/>
  <c r="L4" i="1"/>
  <c r="D3" i="5" s="1"/>
  <c r="M65" i="1"/>
  <c r="E5" i="5" s="1"/>
  <c r="O95" i="1"/>
  <c r="G6" i="5" s="1"/>
  <c r="O155" i="1"/>
  <c r="G8" i="5" s="1"/>
  <c r="M35" i="1"/>
  <c r="E4" i="5" s="1"/>
  <c r="L125" i="1"/>
  <c r="D7" i="5" s="1"/>
  <c r="O185" i="1"/>
  <c r="G9" i="5" s="1"/>
  <c r="M4" i="1"/>
  <c r="E3" i="5" s="1"/>
  <c r="O4" i="1"/>
  <c r="G3" i="5" s="1"/>
  <c r="N125" i="1"/>
  <c r="F7" i="5" s="1"/>
  <c r="N65" i="1"/>
  <c r="F5" i="5" s="1"/>
  <c r="L35" i="1"/>
  <c r="D4" i="5" s="1"/>
  <c r="L95" i="1"/>
  <c r="D6" i="5" s="1"/>
  <c r="L155" i="1"/>
  <c r="D8" i="5" s="1"/>
  <c r="O35" i="1"/>
  <c r="G4" i="5" s="1"/>
  <c r="N185" i="1"/>
  <c r="F9" i="5" s="1"/>
  <c r="L185" i="1"/>
  <c r="D9" i="5" s="1"/>
  <c r="M185" i="1"/>
  <c r="E9" i="5" s="1"/>
</calcChain>
</file>

<file path=xl/sharedStrings.xml><?xml version="1.0" encoding="utf-8"?>
<sst xmlns="http://schemas.openxmlformats.org/spreadsheetml/2006/main" count="540" uniqueCount="272">
  <si>
    <t>Sample ID</t>
  </si>
  <si>
    <t>Weight [g]</t>
  </si>
  <si>
    <t xml:space="preserve">Length [mm] </t>
  </si>
  <si>
    <t>Treatment Group</t>
  </si>
  <si>
    <t>16-04-2019</t>
  </si>
  <si>
    <t>17-04-2019</t>
  </si>
  <si>
    <t>18-04-2019</t>
  </si>
  <si>
    <t>19-04-2019</t>
  </si>
  <si>
    <t>U1-CTR</t>
  </si>
  <si>
    <t>U2-CTR</t>
  </si>
  <si>
    <t>U3-CTR</t>
  </si>
  <si>
    <t>U19-1</t>
  </si>
  <si>
    <t>U20-1</t>
  </si>
  <si>
    <t>U21-1</t>
  </si>
  <si>
    <t>U16-3</t>
  </si>
  <si>
    <t>U16-4</t>
  </si>
  <si>
    <t>U16-5</t>
  </si>
  <si>
    <t>U17-4</t>
  </si>
  <si>
    <t>U18-5</t>
  </si>
  <si>
    <t>U13-C10</t>
  </si>
  <si>
    <t>U18-3</t>
  </si>
  <si>
    <t>U17-3</t>
  </si>
  <si>
    <t>U14-C10</t>
  </si>
  <si>
    <t>U15-C10</t>
  </si>
  <si>
    <t>U10-30</t>
  </si>
  <si>
    <t>U11-30</t>
  </si>
  <si>
    <t>U12-30</t>
  </si>
  <si>
    <t>U7-100</t>
  </si>
  <si>
    <t>U8-100</t>
  </si>
  <si>
    <t>U9-100</t>
  </si>
  <si>
    <t>U4-300</t>
  </si>
  <si>
    <t>U5-300</t>
  </si>
  <si>
    <t>U6-300</t>
  </si>
  <si>
    <t>U1-1</t>
  </si>
  <si>
    <t>U1-2</t>
  </si>
  <si>
    <t>U1-3</t>
  </si>
  <si>
    <t>U1-4</t>
  </si>
  <si>
    <t>U1-5</t>
  </si>
  <si>
    <t>U1-6</t>
  </si>
  <si>
    <t>U1-7</t>
  </si>
  <si>
    <t>U1-8</t>
  </si>
  <si>
    <t>U1-9</t>
  </si>
  <si>
    <t>U1-10</t>
  </si>
  <si>
    <t>U2-1</t>
  </si>
  <si>
    <t>U2-2</t>
  </si>
  <si>
    <t>U2-3</t>
  </si>
  <si>
    <t>U2-4</t>
  </si>
  <si>
    <t>U2-5</t>
  </si>
  <si>
    <t>U2-6</t>
  </si>
  <si>
    <t>U2-7</t>
  </si>
  <si>
    <t>U2-8</t>
  </si>
  <si>
    <t>U2-9</t>
  </si>
  <si>
    <t>U2-10</t>
  </si>
  <si>
    <t>U3-1</t>
  </si>
  <si>
    <t>U3-2</t>
  </si>
  <si>
    <t>U3-3</t>
  </si>
  <si>
    <t>U3-4</t>
  </si>
  <si>
    <t>U3-5</t>
  </si>
  <si>
    <t>U3-6</t>
  </si>
  <si>
    <t>U3-7</t>
  </si>
  <si>
    <t>U3-8</t>
  </si>
  <si>
    <t>U3-9</t>
  </si>
  <si>
    <t>U3-10</t>
  </si>
  <si>
    <t>U19-2</t>
  </si>
  <si>
    <t>U19-3</t>
  </si>
  <si>
    <t>U19-4</t>
  </si>
  <si>
    <t>U19-5</t>
  </si>
  <si>
    <t>U19-6</t>
  </si>
  <si>
    <t>U19-7</t>
  </si>
  <si>
    <t>U19-8</t>
  </si>
  <si>
    <t>U19-9</t>
  </si>
  <si>
    <t>U19-10</t>
  </si>
  <si>
    <t>U20-2</t>
  </si>
  <si>
    <t>U20-3</t>
  </si>
  <si>
    <t>U20-4</t>
  </si>
  <si>
    <t>U20-5</t>
  </si>
  <si>
    <t>U20-6</t>
  </si>
  <si>
    <t>U20-7</t>
  </si>
  <si>
    <t>U20-8</t>
  </si>
  <si>
    <t>U20-9</t>
  </si>
  <si>
    <t>U20-10</t>
  </si>
  <si>
    <t>U21-2</t>
  </si>
  <si>
    <t>U21-3</t>
  </si>
  <si>
    <t>U21-4</t>
  </si>
  <si>
    <t>U21-5</t>
  </si>
  <si>
    <t>U21-6</t>
  </si>
  <si>
    <t>U21-7</t>
  </si>
  <si>
    <t>U21-8</t>
  </si>
  <si>
    <t>U21-9</t>
  </si>
  <si>
    <t>U21-10</t>
  </si>
  <si>
    <t>U16-1</t>
  </si>
  <si>
    <t>U16-2</t>
  </si>
  <si>
    <t>U16-6</t>
  </si>
  <si>
    <t>U16-7</t>
  </si>
  <si>
    <t>U16-8</t>
  </si>
  <si>
    <t>U16-9</t>
  </si>
  <si>
    <t>U16-10</t>
  </si>
  <si>
    <t>U17-1</t>
  </si>
  <si>
    <t>U17-2</t>
  </si>
  <si>
    <t>U17-5</t>
  </si>
  <si>
    <t>U17-6</t>
  </si>
  <si>
    <t>U17-7</t>
  </si>
  <si>
    <t>U17-8</t>
  </si>
  <si>
    <t>U17-9</t>
  </si>
  <si>
    <t>U17-10</t>
  </si>
  <si>
    <t>U18-1</t>
  </si>
  <si>
    <t>U18-2</t>
  </si>
  <si>
    <t>U18-4</t>
  </si>
  <si>
    <t>U18-6</t>
  </si>
  <si>
    <t>U18-7</t>
  </si>
  <si>
    <t>U18-8</t>
  </si>
  <si>
    <t>U18-9</t>
  </si>
  <si>
    <t>U18-10</t>
  </si>
  <si>
    <t>H13-1</t>
  </si>
  <si>
    <t>H13-2</t>
  </si>
  <si>
    <t>H13-3</t>
  </si>
  <si>
    <t>H13-4</t>
  </si>
  <si>
    <t>H13-5</t>
  </si>
  <si>
    <t>H13-6</t>
  </si>
  <si>
    <t>H13-7</t>
  </si>
  <si>
    <t>H13-8</t>
  </si>
  <si>
    <t>H13-9</t>
  </si>
  <si>
    <t>H13-10</t>
  </si>
  <si>
    <t>U14-1</t>
  </si>
  <si>
    <t>U14-2</t>
  </si>
  <si>
    <t>U14-3</t>
  </si>
  <si>
    <t>U14-4</t>
  </si>
  <si>
    <t>U14-5</t>
  </si>
  <si>
    <t>U14-6</t>
  </si>
  <si>
    <t>U14-7</t>
  </si>
  <si>
    <t>U14-8</t>
  </si>
  <si>
    <t>U14-9</t>
  </si>
  <si>
    <t>U14-10</t>
  </si>
  <si>
    <t>U15-1</t>
  </si>
  <si>
    <t>U15-2</t>
  </si>
  <si>
    <t>U15-3</t>
  </si>
  <si>
    <t>U15-4</t>
  </si>
  <si>
    <t>U15-5</t>
  </si>
  <si>
    <t>U15-6</t>
  </si>
  <si>
    <t>U15-7</t>
  </si>
  <si>
    <t>U15-8</t>
  </si>
  <si>
    <t>U15-9</t>
  </si>
  <si>
    <t>U15-10</t>
  </si>
  <si>
    <t>U10-1</t>
  </si>
  <si>
    <t>U10-2</t>
  </si>
  <si>
    <t>U10-3</t>
  </si>
  <si>
    <t>U10-4</t>
  </si>
  <si>
    <t>U10-5</t>
  </si>
  <si>
    <t>U10-6</t>
  </si>
  <si>
    <t>U10-7</t>
  </si>
  <si>
    <t>U10-8</t>
  </si>
  <si>
    <t>U10-9</t>
  </si>
  <si>
    <t>U10-10</t>
  </si>
  <si>
    <t>U11-1</t>
  </si>
  <si>
    <t>U11-2</t>
  </si>
  <si>
    <t>U11-3</t>
  </si>
  <si>
    <t>U11-4</t>
  </si>
  <si>
    <t>U11-5</t>
  </si>
  <si>
    <t>U11-6</t>
  </si>
  <si>
    <t>U11-7</t>
  </si>
  <si>
    <t>U11-8</t>
  </si>
  <si>
    <t>U11-9</t>
  </si>
  <si>
    <t>U11-10</t>
  </si>
  <si>
    <t>U12-1</t>
  </si>
  <si>
    <t>U12-2</t>
  </si>
  <si>
    <t>U12-3</t>
  </si>
  <si>
    <t>U12-4</t>
  </si>
  <si>
    <t>U12-5</t>
  </si>
  <si>
    <t>U12-6</t>
  </si>
  <si>
    <t>U12-7</t>
  </si>
  <si>
    <t>U12-8</t>
  </si>
  <si>
    <t>U12-9</t>
  </si>
  <si>
    <t>U12-10</t>
  </si>
  <si>
    <t>U7-1</t>
  </si>
  <si>
    <t>U7-2</t>
  </si>
  <si>
    <t>U7-3</t>
  </si>
  <si>
    <t>U7-4</t>
  </si>
  <si>
    <t>U7-5</t>
  </si>
  <si>
    <t>U7-6</t>
  </si>
  <si>
    <t>U7-7</t>
  </si>
  <si>
    <t>U7-8</t>
  </si>
  <si>
    <t>U7-9</t>
  </si>
  <si>
    <t>U7-10</t>
  </si>
  <si>
    <t>U8-1</t>
  </si>
  <si>
    <t>U8-2</t>
  </si>
  <si>
    <t>U8-3</t>
  </si>
  <si>
    <t>U8-4</t>
  </si>
  <si>
    <t>U8-5</t>
  </si>
  <si>
    <t>U8-6</t>
  </si>
  <si>
    <t>U8-7</t>
  </si>
  <si>
    <t>U8-8</t>
  </si>
  <si>
    <t>U8-9</t>
  </si>
  <si>
    <t>U8-10</t>
  </si>
  <si>
    <t>U9-10</t>
  </si>
  <si>
    <t>U4-1</t>
  </si>
  <si>
    <t>U4-2</t>
  </si>
  <si>
    <t>U4-3</t>
  </si>
  <si>
    <t>U4-4</t>
  </si>
  <si>
    <t>U4-5</t>
  </si>
  <si>
    <t>U4-6</t>
  </si>
  <si>
    <t>U4-7</t>
  </si>
  <si>
    <t>U4-8</t>
  </si>
  <si>
    <t>U4-9</t>
  </si>
  <si>
    <t>U4-10</t>
  </si>
  <si>
    <t>U5-1</t>
  </si>
  <si>
    <t>U5-2</t>
  </si>
  <si>
    <t>U5-3</t>
  </si>
  <si>
    <t>U5-4</t>
  </si>
  <si>
    <t>U5-5</t>
  </si>
  <si>
    <t>U5-6</t>
  </si>
  <si>
    <t>U5-7</t>
  </si>
  <si>
    <t>U5-8</t>
  </si>
  <si>
    <t>U5-9</t>
  </si>
  <si>
    <t>U5-10</t>
  </si>
  <si>
    <t>U6-1</t>
  </si>
  <si>
    <t>U6-2</t>
  </si>
  <si>
    <t>U6-3</t>
  </si>
  <si>
    <t>U6-4</t>
  </si>
  <si>
    <t>U6-5</t>
  </si>
  <si>
    <t>U6-6</t>
  </si>
  <si>
    <t>U6-7</t>
  </si>
  <si>
    <t>U6-8</t>
  </si>
  <si>
    <t>U6-9</t>
  </si>
  <si>
    <t>U6-10</t>
  </si>
  <si>
    <t>Dead on 04-18-2019</t>
  </si>
  <si>
    <t>U9-1</t>
  </si>
  <si>
    <t>U9-2</t>
  </si>
  <si>
    <t>U9-3</t>
  </si>
  <si>
    <t>U9-4</t>
  </si>
  <si>
    <t>U9-5</t>
  </si>
  <si>
    <t>U9-6</t>
  </si>
  <si>
    <t>U9-7</t>
  </si>
  <si>
    <t>U9-8</t>
  </si>
  <si>
    <t>U9-9</t>
  </si>
  <si>
    <t>One fish lost bouyancy/could not right itself up</t>
  </si>
  <si>
    <t>Two fish lost bouyancy/could not right themselves up; Opercula still moving</t>
  </si>
  <si>
    <t>Very small and skinny appearance</t>
  </si>
  <si>
    <t>Two fish lost buycancy but righted themselves up again when prodded</t>
  </si>
  <si>
    <t>U3-11</t>
  </si>
  <si>
    <t>AV</t>
  </si>
  <si>
    <t>SD</t>
  </si>
  <si>
    <t>Length [mm]</t>
  </si>
  <si>
    <t>DO [%]</t>
  </si>
  <si>
    <t>pH</t>
  </si>
  <si>
    <t>Temp [C]</t>
  </si>
  <si>
    <t>Conuctivity</t>
  </si>
  <si>
    <t>Ammonia [mg/L]</t>
  </si>
  <si>
    <t>Control</t>
  </si>
  <si>
    <t>100 mg Urea / L</t>
  </si>
  <si>
    <t>300 mg Urea / L</t>
  </si>
  <si>
    <t>U10-12</t>
  </si>
  <si>
    <t>U13-15</t>
  </si>
  <si>
    <t>U16-18</t>
  </si>
  <si>
    <t>U19-21</t>
  </si>
  <si>
    <t>30 mg Urea / L</t>
  </si>
  <si>
    <t>10 mg Urea / L</t>
  </si>
  <si>
    <t>3 mg Urea / L</t>
  </si>
  <si>
    <t>1 mg Urea / L</t>
  </si>
  <si>
    <t>Treatment</t>
  </si>
  <si>
    <t>Avergae Mortality</t>
  </si>
  <si>
    <t>AV (#)</t>
  </si>
  <si>
    <t>AV (%)</t>
  </si>
  <si>
    <t>Comments (Replicate)</t>
  </si>
  <si>
    <t>Comments (Tank)</t>
  </si>
  <si>
    <t>Two fish died on 04-17-19, and which were not included here (no weights and lengths available).</t>
  </si>
  <si>
    <t>CTR</t>
  </si>
  <si>
    <t>Fish in Tank</t>
  </si>
  <si>
    <t>Mortality</t>
  </si>
  <si>
    <t>Weight</t>
  </si>
  <si>
    <t>Length</t>
  </si>
  <si>
    <t>Avergae Length (mm)</t>
  </si>
  <si>
    <t>Avergae weight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</si>
</sst>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Rainbow Trout - 96h Urea Exposure Mortalities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744000"/>
        <c:axId val="204847392"/>
      </c:barChart>
      <c:catAx>
        <c:axId val="201744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Urea [mg/L]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47392"/>
        <c:crosses val="autoZero"/>
        <c:auto val="1"/>
        <c:lblAlgn val="ctr"/>
        <c:lblOffset val="100"/>
        <c:noMultiLvlLbl val="0"/>
      </c:catAx>
      <c:valAx>
        <c:axId val="204847392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Mortality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44000"/>
        <c:crosses val="autoZero"/>
        <c:crossBetween val="between"/>
        <c:majorUnit val="20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</xdr:row>
      <xdr:rowOff>0</xdr:rowOff>
    </xdr:from>
    <xdr:to>
      <xdr:col>22</xdr:col>
      <xdr:colOff>577850</xdr:colOff>
      <xdr:row>18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3ED26B-A009-A74C-B123-303A3F17E5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93CA-74F4-324B-90C3-4B37E596DAF9}">
  <dimension ref="A2:B8"/>
  <sheetViews>
    <sheetView workbookViewId="0">
      <selection activeCell="A8" sqref="A8"/>
    </sheetView>
  </sheetViews>
  <sheetFormatPr defaultColWidth="11" defaultRowHeight="15.6" x14ac:dyDescent="0.3"/>
  <cols>
    <col min="2" max="2" width="17.19921875" customWidth="1"/>
  </cols>
  <sheetData>
    <row r="2" spans="1:2" x14ac:dyDescent="0.3">
      <c r="A2" t="s">
        <v>35</v>
      </c>
      <c r="B2" t="s">
        <v>247</v>
      </c>
    </row>
    <row r="3" spans="1:2" x14ac:dyDescent="0.3">
      <c r="A3" t="s">
        <v>253</v>
      </c>
      <c r="B3" t="s">
        <v>257</v>
      </c>
    </row>
    <row r="4" spans="1:2" x14ac:dyDescent="0.3">
      <c r="A4" t="s">
        <v>252</v>
      </c>
      <c r="B4" t="s">
        <v>256</v>
      </c>
    </row>
    <row r="5" spans="1:2" x14ac:dyDescent="0.3">
      <c r="A5" t="s">
        <v>251</v>
      </c>
      <c r="B5" t="s">
        <v>255</v>
      </c>
    </row>
    <row r="6" spans="1:2" x14ac:dyDescent="0.3">
      <c r="A6" t="s">
        <v>250</v>
      </c>
      <c r="B6" t="s">
        <v>254</v>
      </c>
    </row>
    <row r="7" spans="1:2" x14ac:dyDescent="0.3">
      <c r="A7" t="s">
        <v>181</v>
      </c>
      <c r="B7" t="s">
        <v>248</v>
      </c>
    </row>
    <row r="8" spans="1:2" x14ac:dyDescent="0.3">
      <c r="A8" t="s">
        <v>199</v>
      </c>
      <c r="B8" t="s">
        <v>249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46964-832E-4D4D-AAF6-007EAAA2F26B}">
  <dimension ref="A2:H23"/>
  <sheetViews>
    <sheetView workbookViewId="0">
      <selection activeCell="B15" sqref="B15"/>
    </sheetView>
  </sheetViews>
  <sheetFormatPr defaultColWidth="11" defaultRowHeight="15.6" x14ac:dyDescent="0.3"/>
  <cols>
    <col min="1" max="1" width="17.5" customWidth="1"/>
  </cols>
  <sheetData>
    <row r="2" spans="1:8" x14ac:dyDescent="0.3">
      <c r="A2" s="2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260</v>
      </c>
      <c r="G2" s="3" t="s">
        <v>261</v>
      </c>
      <c r="H2" s="3" t="s">
        <v>266</v>
      </c>
    </row>
    <row r="3" spans="1:8" x14ac:dyDescent="0.3">
      <c r="A3" t="s">
        <v>8</v>
      </c>
      <c r="B3">
        <v>0</v>
      </c>
      <c r="C3">
        <v>0</v>
      </c>
      <c r="D3">
        <v>0</v>
      </c>
      <c r="E3">
        <v>0</v>
      </c>
      <c r="F3">
        <f>AVERAGE(B3:E3)</f>
        <v>0</v>
      </c>
      <c r="G3">
        <f>F3/H3*100</f>
        <v>0</v>
      </c>
      <c r="H3">
        <v>10</v>
      </c>
    </row>
    <row r="4" spans="1:8" x14ac:dyDescent="0.3">
      <c r="A4" t="s">
        <v>9</v>
      </c>
      <c r="B4">
        <v>0</v>
      </c>
      <c r="C4">
        <v>0</v>
      </c>
      <c r="D4">
        <v>0</v>
      </c>
      <c r="E4">
        <v>0</v>
      </c>
      <c r="F4">
        <f t="shared" ref="F4:F23" si="0">AVERAGE(B4:E4)</f>
        <v>0</v>
      </c>
      <c r="G4">
        <f t="shared" ref="G4:G23" si="1">F4/H4*100</f>
        <v>0</v>
      </c>
      <c r="H4">
        <v>10</v>
      </c>
    </row>
    <row r="5" spans="1:8" x14ac:dyDescent="0.3">
      <c r="A5" t="s">
        <v>10</v>
      </c>
      <c r="B5">
        <v>0</v>
      </c>
      <c r="C5">
        <v>0</v>
      </c>
      <c r="D5">
        <v>0</v>
      </c>
      <c r="E5">
        <v>0</v>
      </c>
      <c r="F5">
        <f t="shared" si="0"/>
        <v>0</v>
      </c>
      <c r="G5">
        <f t="shared" si="1"/>
        <v>0</v>
      </c>
      <c r="H5">
        <v>11</v>
      </c>
    </row>
    <row r="6" spans="1:8" x14ac:dyDescent="0.3">
      <c r="A6" t="s">
        <v>11</v>
      </c>
      <c r="B6">
        <v>0</v>
      </c>
      <c r="C6">
        <v>0</v>
      </c>
      <c r="D6">
        <v>0</v>
      </c>
      <c r="E6">
        <v>0</v>
      </c>
      <c r="F6">
        <f t="shared" si="0"/>
        <v>0</v>
      </c>
      <c r="G6">
        <f t="shared" si="1"/>
        <v>0</v>
      </c>
      <c r="H6">
        <v>10</v>
      </c>
    </row>
    <row r="7" spans="1:8" x14ac:dyDescent="0.3">
      <c r="A7" t="s">
        <v>12</v>
      </c>
      <c r="B7">
        <v>0</v>
      </c>
      <c r="C7">
        <v>1</v>
      </c>
      <c r="D7">
        <v>2</v>
      </c>
      <c r="E7">
        <v>0</v>
      </c>
      <c r="F7">
        <f t="shared" si="0"/>
        <v>0.75</v>
      </c>
      <c r="G7">
        <f t="shared" si="1"/>
        <v>8.3333333333333321</v>
      </c>
      <c r="H7">
        <v>9</v>
      </c>
    </row>
    <row r="8" spans="1:8" x14ac:dyDescent="0.3">
      <c r="A8" t="s">
        <v>13</v>
      </c>
      <c r="B8">
        <v>0</v>
      </c>
      <c r="C8">
        <v>0</v>
      </c>
      <c r="D8">
        <v>0</v>
      </c>
      <c r="E8">
        <v>0</v>
      </c>
      <c r="F8">
        <f t="shared" si="0"/>
        <v>0</v>
      </c>
      <c r="G8">
        <f t="shared" si="1"/>
        <v>0</v>
      </c>
      <c r="H8">
        <v>10</v>
      </c>
    </row>
    <row r="9" spans="1:8" x14ac:dyDescent="0.3">
      <c r="A9" t="s">
        <v>14</v>
      </c>
      <c r="B9">
        <v>0</v>
      </c>
      <c r="C9">
        <v>0</v>
      </c>
      <c r="D9">
        <v>0</v>
      </c>
      <c r="E9">
        <v>0</v>
      </c>
      <c r="F9">
        <f t="shared" si="0"/>
        <v>0</v>
      </c>
      <c r="G9">
        <f t="shared" si="1"/>
        <v>0</v>
      </c>
      <c r="H9">
        <v>10</v>
      </c>
    </row>
    <row r="10" spans="1:8" x14ac:dyDescent="0.3">
      <c r="A10" t="s">
        <v>21</v>
      </c>
      <c r="B10">
        <v>0</v>
      </c>
      <c r="C10">
        <v>0</v>
      </c>
      <c r="D10">
        <v>0</v>
      </c>
      <c r="E10">
        <v>0</v>
      </c>
      <c r="F10">
        <f t="shared" si="0"/>
        <v>0</v>
      </c>
      <c r="G10">
        <f t="shared" si="1"/>
        <v>0</v>
      </c>
      <c r="H10">
        <v>10</v>
      </c>
    </row>
    <row r="11" spans="1:8" x14ac:dyDescent="0.3">
      <c r="A11" t="s">
        <v>20</v>
      </c>
      <c r="B11">
        <v>0</v>
      </c>
      <c r="C11">
        <v>0</v>
      </c>
      <c r="D11">
        <v>0</v>
      </c>
      <c r="E11">
        <v>0</v>
      </c>
      <c r="F11">
        <f t="shared" si="0"/>
        <v>0</v>
      </c>
      <c r="G11">
        <f t="shared" si="1"/>
        <v>0</v>
      </c>
      <c r="H11">
        <v>10</v>
      </c>
    </row>
    <row r="12" spans="1:8" x14ac:dyDescent="0.3">
      <c r="A12" t="s">
        <v>19</v>
      </c>
      <c r="B12">
        <v>0</v>
      </c>
      <c r="C12">
        <v>0</v>
      </c>
      <c r="D12">
        <v>0</v>
      </c>
      <c r="E12">
        <v>0</v>
      </c>
      <c r="F12">
        <f t="shared" si="0"/>
        <v>0</v>
      </c>
      <c r="G12">
        <f t="shared" si="1"/>
        <v>0</v>
      </c>
      <c r="H12">
        <v>10</v>
      </c>
    </row>
    <row r="13" spans="1:8" x14ac:dyDescent="0.3">
      <c r="A13" t="s">
        <v>22</v>
      </c>
      <c r="B13">
        <v>0</v>
      </c>
      <c r="C13">
        <v>0</v>
      </c>
      <c r="D13">
        <v>0</v>
      </c>
      <c r="E13">
        <v>0</v>
      </c>
      <c r="F13">
        <f t="shared" si="0"/>
        <v>0</v>
      </c>
      <c r="G13">
        <f t="shared" si="1"/>
        <v>0</v>
      </c>
      <c r="H13">
        <v>9</v>
      </c>
    </row>
    <row r="14" spans="1:8" x14ac:dyDescent="0.3">
      <c r="A14" t="s">
        <v>23</v>
      </c>
      <c r="B14">
        <v>0</v>
      </c>
      <c r="C14">
        <v>0</v>
      </c>
      <c r="D14">
        <v>0</v>
      </c>
      <c r="E14">
        <v>0</v>
      </c>
      <c r="F14">
        <f t="shared" si="0"/>
        <v>0</v>
      </c>
      <c r="G14">
        <f t="shared" si="1"/>
        <v>0</v>
      </c>
      <c r="H14">
        <v>10</v>
      </c>
    </row>
    <row r="15" spans="1:8" x14ac:dyDescent="0.3">
      <c r="A15" t="s">
        <v>24</v>
      </c>
      <c r="B15">
        <v>0</v>
      </c>
      <c r="C15">
        <v>0</v>
      </c>
      <c r="D15">
        <v>0</v>
      </c>
      <c r="E15">
        <v>0</v>
      </c>
      <c r="F15">
        <f t="shared" si="0"/>
        <v>0</v>
      </c>
      <c r="G15">
        <f t="shared" si="1"/>
        <v>0</v>
      </c>
      <c r="H15">
        <v>10</v>
      </c>
    </row>
    <row r="16" spans="1:8" x14ac:dyDescent="0.3">
      <c r="A16" t="s">
        <v>25</v>
      </c>
      <c r="B16">
        <v>0</v>
      </c>
      <c r="C16">
        <v>0</v>
      </c>
      <c r="D16">
        <v>0</v>
      </c>
      <c r="E16">
        <v>0</v>
      </c>
      <c r="F16">
        <f t="shared" si="0"/>
        <v>0</v>
      </c>
      <c r="G16">
        <f t="shared" si="1"/>
        <v>0</v>
      </c>
      <c r="H16">
        <v>10</v>
      </c>
    </row>
    <row r="17" spans="1:8" x14ac:dyDescent="0.3">
      <c r="A17" t="s">
        <v>26</v>
      </c>
      <c r="B17">
        <v>0</v>
      </c>
      <c r="C17">
        <v>0</v>
      </c>
      <c r="D17">
        <v>0</v>
      </c>
      <c r="E17">
        <v>0</v>
      </c>
      <c r="F17">
        <f t="shared" si="0"/>
        <v>0</v>
      </c>
      <c r="G17">
        <f t="shared" si="1"/>
        <v>0</v>
      </c>
      <c r="H17">
        <v>9</v>
      </c>
    </row>
    <row r="18" spans="1:8" x14ac:dyDescent="0.3">
      <c r="A18" t="s">
        <v>27</v>
      </c>
      <c r="B18">
        <v>0</v>
      </c>
      <c r="C18">
        <v>0</v>
      </c>
      <c r="D18">
        <v>1</v>
      </c>
      <c r="E18">
        <v>0</v>
      </c>
      <c r="F18">
        <f t="shared" si="0"/>
        <v>0.25</v>
      </c>
      <c r="G18">
        <f t="shared" si="1"/>
        <v>2.5</v>
      </c>
      <c r="H18">
        <v>10</v>
      </c>
    </row>
    <row r="19" spans="1:8" x14ac:dyDescent="0.3">
      <c r="A19" t="s">
        <v>28</v>
      </c>
      <c r="B19">
        <v>0</v>
      </c>
      <c r="C19">
        <v>0</v>
      </c>
      <c r="D19">
        <v>0</v>
      </c>
      <c r="E19">
        <v>0</v>
      </c>
      <c r="F19">
        <f t="shared" si="0"/>
        <v>0</v>
      </c>
      <c r="G19">
        <f t="shared" si="1"/>
        <v>0</v>
      </c>
      <c r="H19">
        <v>10</v>
      </c>
    </row>
    <row r="20" spans="1:8" x14ac:dyDescent="0.3">
      <c r="A20" t="s">
        <v>29</v>
      </c>
      <c r="B20">
        <v>0</v>
      </c>
      <c r="C20">
        <v>0</v>
      </c>
      <c r="D20">
        <v>0</v>
      </c>
      <c r="E20">
        <v>0</v>
      </c>
      <c r="F20">
        <f t="shared" si="0"/>
        <v>0</v>
      </c>
      <c r="G20">
        <f t="shared" si="1"/>
        <v>0</v>
      </c>
      <c r="H20">
        <v>10</v>
      </c>
    </row>
    <row r="21" spans="1:8" x14ac:dyDescent="0.3">
      <c r="A21" t="s">
        <v>30</v>
      </c>
      <c r="B21">
        <v>0</v>
      </c>
      <c r="C21">
        <v>2</v>
      </c>
      <c r="D21">
        <v>2</v>
      </c>
      <c r="E21">
        <v>0</v>
      </c>
      <c r="F21">
        <f t="shared" si="0"/>
        <v>1</v>
      </c>
      <c r="G21">
        <f t="shared" si="1"/>
        <v>10</v>
      </c>
      <c r="H21">
        <v>10</v>
      </c>
    </row>
    <row r="22" spans="1:8" x14ac:dyDescent="0.3">
      <c r="A22" t="s">
        <v>31</v>
      </c>
      <c r="B22">
        <v>0</v>
      </c>
      <c r="C22">
        <v>0</v>
      </c>
      <c r="D22">
        <v>0</v>
      </c>
      <c r="E22">
        <v>0</v>
      </c>
      <c r="F22">
        <f t="shared" si="0"/>
        <v>0</v>
      </c>
      <c r="G22">
        <f t="shared" si="1"/>
        <v>0</v>
      </c>
      <c r="H22">
        <v>9</v>
      </c>
    </row>
    <row r="23" spans="1:8" x14ac:dyDescent="0.3">
      <c r="A23" t="s">
        <v>32</v>
      </c>
      <c r="B23">
        <v>0</v>
      </c>
      <c r="C23">
        <v>0</v>
      </c>
      <c r="D23">
        <v>0</v>
      </c>
      <c r="E23">
        <v>0</v>
      </c>
      <c r="F23">
        <f t="shared" si="0"/>
        <v>0</v>
      </c>
      <c r="G23">
        <f t="shared" si="1"/>
        <v>0</v>
      </c>
      <c r="H23">
        <v>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0E703-397E-9F41-913E-489983B27624}">
  <dimension ref="A2:P24"/>
  <sheetViews>
    <sheetView workbookViewId="0">
      <selection activeCell="N33" sqref="N33"/>
    </sheetView>
  </sheetViews>
  <sheetFormatPr defaultColWidth="11" defaultRowHeight="15.6" x14ac:dyDescent="0.3"/>
  <cols>
    <col min="1" max="1" width="15" customWidth="1"/>
  </cols>
  <sheetData>
    <row r="2" spans="1:16" x14ac:dyDescent="0.3">
      <c r="B2" s="1" t="s">
        <v>4</v>
      </c>
      <c r="G2" s="1" t="s">
        <v>5</v>
      </c>
      <c r="L2" s="1" t="s">
        <v>7</v>
      </c>
    </row>
    <row r="3" spans="1:16" x14ac:dyDescent="0.3">
      <c r="A3" t="s">
        <v>3</v>
      </c>
      <c r="B3" t="s">
        <v>242</v>
      </c>
      <c r="C3" t="s">
        <v>243</v>
      </c>
      <c r="D3" t="s">
        <v>244</v>
      </c>
      <c r="E3" t="s">
        <v>245</v>
      </c>
      <c r="F3" t="s">
        <v>246</v>
      </c>
      <c r="G3" t="s">
        <v>242</v>
      </c>
      <c r="H3" t="s">
        <v>243</v>
      </c>
      <c r="I3" t="s">
        <v>244</v>
      </c>
      <c r="J3" t="s">
        <v>245</v>
      </c>
      <c r="K3" t="s">
        <v>246</v>
      </c>
      <c r="L3" t="s">
        <v>242</v>
      </c>
      <c r="M3" t="s">
        <v>243</v>
      </c>
      <c r="N3" t="s">
        <v>244</v>
      </c>
      <c r="O3" t="s">
        <v>245</v>
      </c>
      <c r="P3" t="s">
        <v>246</v>
      </c>
    </row>
    <row r="4" spans="1:16" x14ac:dyDescent="0.3">
      <c r="A4" t="s">
        <v>8</v>
      </c>
      <c r="L4">
        <v>105</v>
      </c>
      <c r="M4">
        <v>7.8</v>
      </c>
      <c r="N4">
        <v>12.8</v>
      </c>
      <c r="O4">
        <v>450</v>
      </c>
      <c r="P4">
        <v>0.25</v>
      </c>
    </row>
    <row r="5" spans="1:16" x14ac:dyDescent="0.3">
      <c r="A5" t="s">
        <v>9</v>
      </c>
      <c r="G5">
        <v>8</v>
      </c>
      <c r="H5">
        <v>7.7</v>
      </c>
      <c r="I5">
        <v>12.2</v>
      </c>
      <c r="J5">
        <v>447</v>
      </c>
    </row>
    <row r="6" spans="1:16" x14ac:dyDescent="0.3">
      <c r="A6" t="s">
        <v>10</v>
      </c>
      <c r="B6">
        <v>87</v>
      </c>
      <c r="C6">
        <v>7.9</v>
      </c>
      <c r="D6">
        <v>12.1</v>
      </c>
      <c r="E6">
        <v>479</v>
      </c>
      <c r="F6">
        <v>0.25</v>
      </c>
    </row>
    <row r="7" spans="1:16" x14ac:dyDescent="0.3">
      <c r="A7" t="s">
        <v>11</v>
      </c>
      <c r="L7">
        <v>97</v>
      </c>
      <c r="M7">
        <v>7.7</v>
      </c>
      <c r="N7">
        <v>12.9</v>
      </c>
      <c r="O7">
        <v>441</v>
      </c>
      <c r="P7">
        <v>0</v>
      </c>
    </row>
    <row r="8" spans="1:16" x14ac:dyDescent="0.3">
      <c r="A8" t="s">
        <v>12</v>
      </c>
      <c r="B8">
        <v>82.5</v>
      </c>
      <c r="C8">
        <v>7.6</v>
      </c>
      <c r="D8">
        <v>12.1</v>
      </c>
      <c r="E8">
        <v>457</v>
      </c>
      <c r="F8">
        <v>0</v>
      </c>
    </row>
    <row r="9" spans="1:16" x14ac:dyDescent="0.3">
      <c r="A9" t="s">
        <v>13</v>
      </c>
      <c r="G9">
        <v>67</v>
      </c>
      <c r="H9">
        <v>7.5</v>
      </c>
      <c r="I9">
        <v>12.1</v>
      </c>
      <c r="J9">
        <v>430</v>
      </c>
    </row>
    <row r="10" spans="1:16" x14ac:dyDescent="0.3">
      <c r="A10" t="s">
        <v>14</v>
      </c>
      <c r="B10">
        <v>81</v>
      </c>
      <c r="C10">
        <v>7.5</v>
      </c>
      <c r="D10">
        <v>11.8</v>
      </c>
      <c r="E10">
        <v>467</v>
      </c>
      <c r="F10">
        <v>0.5</v>
      </c>
      <c r="G10">
        <v>89</v>
      </c>
      <c r="H10">
        <v>7.5</v>
      </c>
      <c r="I10">
        <v>11.8</v>
      </c>
      <c r="J10">
        <v>446</v>
      </c>
    </row>
    <row r="11" spans="1:16" x14ac:dyDescent="0.3">
      <c r="A11" t="s">
        <v>21</v>
      </c>
      <c r="L11">
        <v>87</v>
      </c>
      <c r="M11">
        <v>7.6</v>
      </c>
      <c r="N11">
        <v>13.1</v>
      </c>
      <c r="O11">
        <v>442</v>
      </c>
      <c r="P11">
        <v>0</v>
      </c>
    </row>
    <row r="12" spans="1:16" x14ac:dyDescent="0.3">
      <c r="A12" t="s">
        <v>20</v>
      </c>
    </row>
    <row r="13" spans="1:16" x14ac:dyDescent="0.3">
      <c r="A13" t="s">
        <v>19</v>
      </c>
      <c r="L13">
        <v>89</v>
      </c>
      <c r="M13">
        <v>7.6</v>
      </c>
      <c r="N13">
        <v>12.6</v>
      </c>
      <c r="O13">
        <v>446</v>
      </c>
      <c r="P13">
        <v>0.25</v>
      </c>
    </row>
    <row r="14" spans="1:16" x14ac:dyDescent="0.3">
      <c r="A14" t="s">
        <v>22</v>
      </c>
      <c r="G14">
        <v>84</v>
      </c>
      <c r="H14">
        <v>7.6</v>
      </c>
      <c r="I14">
        <v>12.3</v>
      </c>
      <c r="J14">
        <v>447</v>
      </c>
    </row>
    <row r="15" spans="1:16" x14ac:dyDescent="0.3">
      <c r="A15" t="s">
        <v>23</v>
      </c>
      <c r="B15">
        <v>87</v>
      </c>
      <c r="C15">
        <v>7.6</v>
      </c>
      <c r="D15">
        <v>12</v>
      </c>
      <c r="E15">
        <v>468</v>
      </c>
      <c r="F15">
        <v>0.5</v>
      </c>
    </row>
    <row r="16" spans="1:16" x14ac:dyDescent="0.3">
      <c r="A16" t="s">
        <v>24</v>
      </c>
    </row>
    <row r="17" spans="1:16" x14ac:dyDescent="0.3">
      <c r="A17" t="s">
        <v>25</v>
      </c>
      <c r="B17">
        <v>70</v>
      </c>
      <c r="C17">
        <v>7.7</v>
      </c>
      <c r="D17">
        <v>12</v>
      </c>
      <c r="E17">
        <v>458</v>
      </c>
      <c r="F17">
        <v>0.25</v>
      </c>
      <c r="G17">
        <v>89</v>
      </c>
      <c r="H17">
        <v>7.6</v>
      </c>
      <c r="I17">
        <v>11.9</v>
      </c>
      <c r="J17">
        <v>444</v>
      </c>
    </row>
    <row r="18" spans="1:16" x14ac:dyDescent="0.3">
      <c r="A18" t="s">
        <v>26</v>
      </c>
      <c r="L18">
        <v>93</v>
      </c>
      <c r="M18">
        <v>7.7</v>
      </c>
      <c r="N18">
        <v>12.2</v>
      </c>
      <c r="O18">
        <v>439</v>
      </c>
      <c r="P18">
        <v>0.5</v>
      </c>
    </row>
    <row r="19" spans="1:16" x14ac:dyDescent="0.3">
      <c r="A19" t="s">
        <v>27</v>
      </c>
      <c r="L19">
        <v>95</v>
      </c>
      <c r="M19">
        <v>7.7</v>
      </c>
      <c r="N19">
        <v>12.1</v>
      </c>
      <c r="O19">
        <v>440</v>
      </c>
      <c r="P19">
        <v>0.25</v>
      </c>
    </row>
    <row r="20" spans="1:16" x14ac:dyDescent="0.3">
      <c r="A20" t="s">
        <v>28</v>
      </c>
      <c r="G20">
        <v>85</v>
      </c>
      <c r="H20">
        <v>7.6</v>
      </c>
      <c r="I20">
        <v>12</v>
      </c>
      <c r="J20">
        <v>446</v>
      </c>
    </row>
    <row r="21" spans="1:16" x14ac:dyDescent="0.3">
      <c r="A21" t="s">
        <v>29</v>
      </c>
      <c r="B21">
        <v>69</v>
      </c>
      <c r="C21">
        <v>7.4</v>
      </c>
      <c r="D21">
        <v>12.3</v>
      </c>
      <c r="E21">
        <v>464</v>
      </c>
      <c r="F21">
        <v>0</v>
      </c>
    </row>
    <row r="22" spans="1:16" x14ac:dyDescent="0.3">
      <c r="A22" t="s">
        <v>30</v>
      </c>
      <c r="G22">
        <v>90</v>
      </c>
      <c r="H22">
        <v>7.6</v>
      </c>
      <c r="I22">
        <v>11.8</v>
      </c>
      <c r="J22">
        <v>442</v>
      </c>
    </row>
    <row r="23" spans="1:16" x14ac:dyDescent="0.3">
      <c r="A23" t="s">
        <v>31</v>
      </c>
      <c r="B23">
        <v>88</v>
      </c>
      <c r="C23">
        <v>7.5</v>
      </c>
      <c r="D23">
        <v>11.9</v>
      </c>
      <c r="E23">
        <v>464</v>
      </c>
      <c r="F23">
        <v>0.5</v>
      </c>
    </row>
    <row r="24" spans="1:16" x14ac:dyDescent="0.3">
      <c r="A24" t="s">
        <v>32</v>
      </c>
      <c r="L24">
        <v>102</v>
      </c>
      <c r="M24">
        <v>7.7</v>
      </c>
      <c r="N24">
        <v>12</v>
      </c>
      <c r="O24">
        <v>441</v>
      </c>
      <c r="P24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A7C88-A4DE-564B-ADC1-608C04770ABC}">
  <dimension ref="A2:O214"/>
  <sheetViews>
    <sheetView workbookViewId="0">
      <selection activeCell="E45" sqref="E45:E46"/>
    </sheetView>
  </sheetViews>
  <sheetFormatPr defaultColWidth="11" defaultRowHeight="15.6" x14ac:dyDescent="0.3"/>
  <cols>
    <col min="1" max="2" width="15.5" customWidth="1"/>
    <col min="3" max="3" width="16.09765625" customWidth="1"/>
    <col min="4" max="4" width="16.3984375" customWidth="1"/>
    <col min="5" max="5" width="47.5" customWidth="1"/>
    <col min="6" max="6" width="42.09765625" customWidth="1"/>
    <col min="7" max="7" width="13.09765625" customWidth="1"/>
    <col min="8" max="9" width="11.8984375" customWidth="1"/>
  </cols>
  <sheetData>
    <row r="2" spans="1:15" x14ac:dyDescent="0.3">
      <c r="G2" t="s">
        <v>1</v>
      </c>
      <c r="I2" t="s">
        <v>241</v>
      </c>
      <c r="L2" t="s">
        <v>1</v>
      </c>
      <c r="N2" t="s">
        <v>241</v>
      </c>
    </row>
    <row r="3" spans="1:15" x14ac:dyDescent="0.3">
      <c r="A3" t="s">
        <v>3</v>
      </c>
      <c r="B3" t="s">
        <v>0</v>
      </c>
      <c r="C3" t="s">
        <v>1</v>
      </c>
      <c r="D3" t="s">
        <v>2</v>
      </c>
      <c r="E3" t="s">
        <v>262</v>
      </c>
      <c r="F3" t="s">
        <v>263</v>
      </c>
      <c r="G3" t="s">
        <v>239</v>
      </c>
      <c r="H3" t="s">
        <v>240</v>
      </c>
      <c r="I3" t="s">
        <v>239</v>
      </c>
      <c r="J3" t="s">
        <v>240</v>
      </c>
    </row>
    <row r="4" spans="1:15" x14ac:dyDescent="0.3">
      <c r="A4" t="s">
        <v>8</v>
      </c>
      <c r="B4" t="s">
        <v>33</v>
      </c>
      <c r="C4">
        <v>1.6</v>
      </c>
      <c r="D4">
        <v>58</v>
      </c>
      <c r="G4">
        <f>AVERAGE(C4:C13)</f>
        <v>1.7009999999999998</v>
      </c>
      <c r="H4">
        <f>STDEV(C4:C13)</f>
        <v>0.1567340280716206</v>
      </c>
      <c r="I4">
        <f>AVERAGE(D4:D13)</f>
        <v>58.1</v>
      </c>
      <c r="J4">
        <f>STDEV(D4:D13)</f>
        <v>1.8529256146249728</v>
      </c>
      <c r="L4">
        <f>AVERAGE(G4,G14,G24)</f>
        <v>1.7106666666666666</v>
      </c>
      <c r="M4">
        <f>STDEV(G4,G14,G24)</f>
        <v>0.11480563284670921</v>
      </c>
      <c r="N4">
        <f>AVERAGE(I4,I14,I24)</f>
        <v>57.6</v>
      </c>
      <c r="O4">
        <f>STDEV(I4,I14,I24)</f>
        <v>0.7810249675906642</v>
      </c>
    </row>
    <row r="5" spans="1:15" x14ac:dyDescent="0.3">
      <c r="A5" t="s">
        <v>8</v>
      </c>
      <c r="B5" t="s">
        <v>34</v>
      </c>
      <c r="C5">
        <v>1.74</v>
      </c>
      <c r="D5">
        <v>57</v>
      </c>
    </row>
    <row r="6" spans="1:15" x14ac:dyDescent="0.3">
      <c r="A6" t="s">
        <v>8</v>
      </c>
      <c r="B6" t="s">
        <v>35</v>
      </c>
      <c r="C6">
        <v>1.85</v>
      </c>
      <c r="D6">
        <v>60</v>
      </c>
    </row>
    <row r="7" spans="1:15" x14ac:dyDescent="0.3">
      <c r="A7" t="s">
        <v>8</v>
      </c>
      <c r="B7" t="s">
        <v>36</v>
      </c>
      <c r="C7">
        <v>1.79</v>
      </c>
      <c r="D7">
        <v>60</v>
      </c>
    </row>
    <row r="8" spans="1:15" x14ac:dyDescent="0.3">
      <c r="A8" t="s">
        <v>8</v>
      </c>
      <c r="B8" t="s">
        <v>37</v>
      </c>
      <c r="C8">
        <v>1.73</v>
      </c>
      <c r="D8">
        <v>59</v>
      </c>
    </row>
    <row r="9" spans="1:15" x14ac:dyDescent="0.3">
      <c r="A9" t="s">
        <v>8</v>
      </c>
      <c r="B9" t="s">
        <v>38</v>
      </c>
      <c r="C9">
        <v>1.83</v>
      </c>
      <c r="D9">
        <v>60</v>
      </c>
    </row>
    <row r="10" spans="1:15" x14ac:dyDescent="0.3">
      <c r="A10" t="s">
        <v>8</v>
      </c>
      <c r="B10" t="s">
        <v>39</v>
      </c>
      <c r="C10">
        <v>1.57</v>
      </c>
      <c r="D10">
        <v>57</v>
      </c>
    </row>
    <row r="11" spans="1:15" x14ac:dyDescent="0.3">
      <c r="A11" t="s">
        <v>8</v>
      </c>
      <c r="B11" t="s">
        <v>40</v>
      </c>
      <c r="C11">
        <v>1.34</v>
      </c>
      <c r="D11">
        <v>54</v>
      </c>
    </row>
    <row r="12" spans="1:15" x14ac:dyDescent="0.3">
      <c r="A12" t="s">
        <v>8</v>
      </c>
      <c r="B12" t="s">
        <v>41</v>
      </c>
      <c r="C12">
        <v>1.81</v>
      </c>
      <c r="D12">
        <v>58</v>
      </c>
    </row>
    <row r="13" spans="1:15" x14ac:dyDescent="0.3">
      <c r="A13" t="s">
        <v>8</v>
      </c>
      <c r="B13" t="s">
        <v>42</v>
      </c>
      <c r="C13">
        <v>1.75</v>
      </c>
      <c r="D13">
        <v>58</v>
      </c>
    </row>
    <row r="14" spans="1:15" x14ac:dyDescent="0.3">
      <c r="A14" t="s">
        <v>9</v>
      </c>
      <c r="B14" t="s">
        <v>43</v>
      </c>
      <c r="C14">
        <v>1.9</v>
      </c>
      <c r="D14">
        <v>60</v>
      </c>
      <c r="G14">
        <f>AVERAGE(C14:C23)</f>
        <v>1.6009999999999998</v>
      </c>
      <c r="H14">
        <f>STDEV(C14:C23)</f>
        <v>0.33214621947436312</v>
      </c>
      <c r="I14">
        <f>AVERAGE(D14:D23)</f>
        <v>56.7</v>
      </c>
      <c r="J14">
        <f>STDEV(D14:D23)</f>
        <v>3.4976182372199136</v>
      </c>
    </row>
    <row r="15" spans="1:15" x14ac:dyDescent="0.3">
      <c r="A15" t="s">
        <v>9</v>
      </c>
      <c r="B15" t="s">
        <v>44</v>
      </c>
      <c r="C15">
        <v>1.79</v>
      </c>
      <c r="D15">
        <v>59</v>
      </c>
    </row>
    <row r="16" spans="1:15" x14ac:dyDescent="0.3">
      <c r="A16" t="s">
        <v>9</v>
      </c>
      <c r="B16" t="s">
        <v>45</v>
      </c>
      <c r="C16">
        <v>2.0099999999999998</v>
      </c>
      <c r="D16">
        <v>62</v>
      </c>
    </row>
    <row r="17" spans="1:10" x14ac:dyDescent="0.3">
      <c r="A17" t="s">
        <v>9</v>
      </c>
      <c r="B17" t="s">
        <v>46</v>
      </c>
      <c r="C17">
        <v>1.21</v>
      </c>
      <c r="D17">
        <v>53</v>
      </c>
    </row>
    <row r="18" spans="1:10" x14ac:dyDescent="0.3">
      <c r="A18" t="s">
        <v>9</v>
      </c>
      <c r="B18" t="s">
        <v>47</v>
      </c>
      <c r="C18">
        <v>1.25</v>
      </c>
      <c r="D18">
        <v>54</v>
      </c>
    </row>
    <row r="19" spans="1:10" x14ac:dyDescent="0.3">
      <c r="A19" t="s">
        <v>9</v>
      </c>
      <c r="B19" t="s">
        <v>48</v>
      </c>
      <c r="C19">
        <v>1.98</v>
      </c>
      <c r="D19">
        <v>60</v>
      </c>
    </row>
    <row r="20" spans="1:10" x14ac:dyDescent="0.3">
      <c r="A20" t="s">
        <v>9</v>
      </c>
      <c r="B20" t="s">
        <v>49</v>
      </c>
      <c r="C20">
        <v>1.42</v>
      </c>
      <c r="D20">
        <v>55</v>
      </c>
    </row>
    <row r="21" spans="1:10" x14ac:dyDescent="0.3">
      <c r="A21" t="s">
        <v>9</v>
      </c>
      <c r="B21" t="s">
        <v>50</v>
      </c>
      <c r="C21">
        <v>1.45</v>
      </c>
      <c r="D21">
        <v>54</v>
      </c>
    </row>
    <row r="22" spans="1:10" x14ac:dyDescent="0.3">
      <c r="A22" t="s">
        <v>9</v>
      </c>
      <c r="B22" t="s">
        <v>51</v>
      </c>
      <c r="C22">
        <v>1.18</v>
      </c>
      <c r="D22">
        <v>52</v>
      </c>
    </row>
    <row r="23" spans="1:10" x14ac:dyDescent="0.3">
      <c r="A23" t="s">
        <v>9</v>
      </c>
      <c r="B23" t="s">
        <v>52</v>
      </c>
      <c r="C23">
        <v>1.82</v>
      </c>
      <c r="D23">
        <v>58</v>
      </c>
    </row>
    <row r="24" spans="1:10" x14ac:dyDescent="0.3">
      <c r="A24" t="s">
        <v>10</v>
      </c>
      <c r="B24" t="s">
        <v>53</v>
      </c>
      <c r="C24">
        <v>1.86</v>
      </c>
      <c r="D24">
        <v>58</v>
      </c>
      <c r="G24">
        <f>AVERAGE(C24:C34)</f>
        <v>1.8300000000000003</v>
      </c>
      <c r="H24">
        <f>STDEV(C24:C34)</f>
        <v>0.23845334973533008</v>
      </c>
      <c r="I24">
        <f>AVERAGE(D24:D34)</f>
        <v>58</v>
      </c>
      <c r="J24">
        <f>STDEV(D24:D34)</f>
        <v>2.2803508501982761</v>
      </c>
    </row>
    <row r="25" spans="1:10" x14ac:dyDescent="0.3">
      <c r="A25" t="s">
        <v>10</v>
      </c>
      <c r="B25" t="s">
        <v>54</v>
      </c>
      <c r="C25">
        <v>2.2200000000000002</v>
      </c>
      <c r="D25">
        <v>62</v>
      </c>
    </row>
    <row r="26" spans="1:10" x14ac:dyDescent="0.3">
      <c r="A26" t="s">
        <v>10</v>
      </c>
      <c r="B26" t="s">
        <v>55</v>
      </c>
      <c r="C26">
        <v>1.63</v>
      </c>
      <c r="D26">
        <v>56</v>
      </c>
    </row>
    <row r="27" spans="1:10" x14ac:dyDescent="0.3">
      <c r="A27" t="s">
        <v>10</v>
      </c>
      <c r="B27" t="s">
        <v>56</v>
      </c>
      <c r="C27">
        <v>2.2000000000000002</v>
      </c>
      <c r="D27">
        <v>62</v>
      </c>
    </row>
    <row r="28" spans="1:10" x14ac:dyDescent="0.3">
      <c r="A28" t="s">
        <v>10</v>
      </c>
      <c r="B28" t="s">
        <v>57</v>
      </c>
      <c r="C28">
        <v>1.97</v>
      </c>
      <c r="D28">
        <v>59</v>
      </c>
    </row>
    <row r="29" spans="1:10" x14ac:dyDescent="0.3">
      <c r="A29" t="s">
        <v>10</v>
      </c>
      <c r="B29" t="s">
        <v>58</v>
      </c>
      <c r="C29">
        <v>1.68</v>
      </c>
      <c r="D29">
        <v>57</v>
      </c>
    </row>
    <row r="30" spans="1:10" x14ac:dyDescent="0.3">
      <c r="A30" t="s">
        <v>10</v>
      </c>
      <c r="B30" t="s">
        <v>59</v>
      </c>
      <c r="C30">
        <v>1.67</v>
      </c>
      <c r="D30">
        <v>58</v>
      </c>
    </row>
    <row r="31" spans="1:10" x14ac:dyDescent="0.3">
      <c r="A31" t="s">
        <v>10</v>
      </c>
      <c r="B31" t="s">
        <v>60</v>
      </c>
      <c r="C31">
        <v>1.97</v>
      </c>
      <c r="D31">
        <v>57</v>
      </c>
    </row>
    <row r="32" spans="1:10" x14ac:dyDescent="0.3">
      <c r="A32" t="s">
        <v>10</v>
      </c>
      <c r="B32" t="s">
        <v>61</v>
      </c>
      <c r="C32">
        <v>1.56</v>
      </c>
      <c r="D32">
        <v>55</v>
      </c>
    </row>
    <row r="33" spans="1:15" x14ac:dyDescent="0.3">
      <c r="A33" t="s">
        <v>10</v>
      </c>
      <c r="B33" t="s">
        <v>62</v>
      </c>
      <c r="C33">
        <v>1.55</v>
      </c>
      <c r="D33">
        <v>56</v>
      </c>
    </row>
    <row r="34" spans="1:15" x14ac:dyDescent="0.3">
      <c r="A34" t="s">
        <v>10</v>
      </c>
      <c r="B34" t="s">
        <v>238</v>
      </c>
      <c r="C34">
        <v>1.82</v>
      </c>
      <c r="D34">
        <v>58</v>
      </c>
    </row>
    <row r="35" spans="1:15" x14ac:dyDescent="0.3">
      <c r="A35" t="s">
        <v>11</v>
      </c>
      <c r="B35" t="s">
        <v>11</v>
      </c>
      <c r="C35">
        <v>1.84</v>
      </c>
      <c r="D35">
        <v>53</v>
      </c>
      <c r="F35" s="4" t="s">
        <v>237</v>
      </c>
      <c r="G35">
        <f>AVERAGE(C35:C44)</f>
        <v>1.7830000000000001</v>
      </c>
      <c r="H35">
        <f>STDEV(C35:C44)</f>
        <v>0.36383909752648663</v>
      </c>
      <c r="I35">
        <f>AVERAGE(D35:D44)</f>
        <v>53.2</v>
      </c>
      <c r="J35">
        <f>STDEV(D35:D44)</f>
        <v>2.9363620727393651</v>
      </c>
      <c r="L35">
        <f>AVERAGE(G35,G45,G55)</f>
        <v>1.7623333333333333</v>
      </c>
      <c r="M35">
        <f>STDEV(G35,G45,G55)</f>
        <v>6.0698709486556195E-2</v>
      </c>
      <c r="N35">
        <f>AVERAGE(I35,I45,I55)</f>
        <v>53.9</v>
      </c>
      <c r="O35">
        <f>STDEV(I35,I45,I55)</f>
        <v>1.3892443989449796</v>
      </c>
    </row>
    <row r="36" spans="1:15" x14ac:dyDescent="0.3">
      <c r="A36" t="s">
        <v>11</v>
      </c>
      <c r="B36" t="s">
        <v>63</v>
      </c>
      <c r="C36">
        <v>2.2799999999999998</v>
      </c>
      <c r="D36">
        <v>57</v>
      </c>
      <c r="F36" s="4"/>
    </row>
    <row r="37" spans="1:15" x14ac:dyDescent="0.3">
      <c r="A37" t="s">
        <v>11</v>
      </c>
      <c r="B37" t="s">
        <v>64</v>
      </c>
      <c r="C37">
        <v>1.26</v>
      </c>
      <c r="D37">
        <v>49</v>
      </c>
      <c r="E37" t="s">
        <v>236</v>
      </c>
      <c r="F37" s="4"/>
    </row>
    <row r="38" spans="1:15" x14ac:dyDescent="0.3">
      <c r="A38" t="s">
        <v>11</v>
      </c>
      <c r="B38" t="s">
        <v>65</v>
      </c>
      <c r="C38">
        <v>1.87</v>
      </c>
      <c r="D38">
        <v>51</v>
      </c>
      <c r="F38" s="4"/>
    </row>
    <row r="39" spans="1:15" x14ac:dyDescent="0.3">
      <c r="A39" t="s">
        <v>11</v>
      </c>
      <c r="B39" t="s">
        <v>66</v>
      </c>
      <c r="C39">
        <v>1.56</v>
      </c>
      <c r="D39">
        <v>55</v>
      </c>
      <c r="F39" s="4"/>
    </row>
    <row r="40" spans="1:15" x14ac:dyDescent="0.3">
      <c r="A40" t="s">
        <v>11</v>
      </c>
      <c r="B40" t="s">
        <v>67</v>
      </c>
      <c r="C40">
        <v>1.39</v>
      </c>
      <c r="D40">
        <v>49</v>
      </c>
      <c r="F40" s="4"/>
    </row>
    <row r="41" spans="1:15" x14ac:dyDescent="0.3">
      <c r="A41" t="s">
        <v>11</v>
      </c>
      <c r="B41" t="s">
        <v>68</v>
      </c>
      <c r="C41">
        <v>1.59</v>
      </c>
      <c r="D41">
        <v>54</v>
      </c>
      <c r="F41" s="4"/>
    </row>
    <row r="42" spans="1:15" x14ac:dyDescent="0.3">
      <c r="A42" t="s">
        <v>11</v>
      </c>
      <c r="B42" t="s">
        <v>69</v>
      </c>
      <c r="C42">
        <v>2</v>
      </c>
      <c r="D42">
        <v>55</v>
      </c>
      <c r="F42" s="4"/>
    </row>
    <row r="43" spans="1:15" x14ac:dyDescent="0.3">
      <c r="A43" t="s">
        <v>11</v>
      </c>
      <c r="B43" t="s">
        <v>70</v>
      </c>
      <c r="C43">
        <v>1.66</v>
      </c>
      <c r="D43">
        <v>52</v>
      </c>
      <c r="F43" s="4"/>
    </row>
    <row r="44" spans="1:15" x14ac:dyDescent="0.3">
      <c r="A44" t="s">
        <v>11</v>
      </c>
      <c r="B44" t="s">
        <v>71</v>
      </c>
      <c r="C44">
        <v>2.38</v>
      </c>
      <c r="D44">
        <v>57</v>
      </c>
      <c r="F44" s="4"/>
    </row>
    <row r="45" spans="1:15" x14ac:dyDescent="0.3">
      <c r="A45" t="s">
        <v>12</v>
      </c>
      <c r="B45" t="s">
        <v>12</v>
      </c>
      <c r="C45">
        <v>2.59</v>
      </c>
      <c r="D45">
        <v>57</v>
      </c>
      <c r="E45" t="s">
        <v>224</v>
      </c>
      <c r="F45" s="4" t="s">
        <v>235</v>
      </c>
      <c r="G45">
        <f>AVERAGE(C45:C54)</f>
        <v>1.8099999999999998</v>
      </c>
      <c r="H45">
        <f>STDEV(C45:C54)</f>
        <v>0.40540103601249056</v>
      </c>
      <c r="I45">
        <f>AVERAGE(D45:D54)</f>
        <v>53</v>
      </c>
      <c r="J45">
        <f>STDEV(D45:D54)</f>
        <v>3.2015621187164243</v>
      </c>
    </row>
    <row r="46" spans="1:15" x14ac:dyDescent="0.3">
      <c r="A46" t="s">
        <v>12</v>
      </c>
      <c r="B46" t="s">
        <v>72</v>
      </c>
      <c r="C46">
        <v>2.14</v>
      </c>
      <c r="D46">
        <v>59</v>
      </c>
      <c r="E46" t="s">
        <v>224</v>
      </c>
      <c r="F46" s="4"/>
    </row>
    <row r="47" spans="1:15" x14ac:dyDescent="0.3">
      <c r="A47" t="s">
        <v>12</v>
      </c>
      <c r="B47" t="s">
        <v>73</v>
      </c>
      <c r="C47">
        <v>1.92</v>
      </c>
      <c r="D47">
        <v>53</v>
      </c>
      <c r="F47" s="4"/>
    </row>
    <row r="48" spans="1:15" x14ac:dyDescent="0.3">
      <c r="A48" t="s">
        <v>12</v>
      </c>
      <c r="B48" t="s">
        <v>74</v>
      </c>
      <c r="C48">
        <v>1.32</v>
      </c>
      <c r="D48">
        <v>49</v>
      </c>
      <c r="F48" s="4"/>
    </row>
    <row r="49" spans="1:10" x14ac:dyDescent="0.3">
      <c r="A49" t="s">
        <v>12</v>
      </c>
      <c r="B49" t="s">
        <v>75</v>
      </c>
      <c r="C49">
        <v>1.69</v>
      </c>
      <c r="D49">
        <v>51</v>
      </c>
      <c r="F49" s="4"/>
    </row>
    <row r="50" spans="1:10" x14ac:dyDescent="0.3">
      <c r="A50" t="s">
        <v>12</v>
      </c>
      <c r="B50" t="s">
        <v>76</v>
      </c>
      <c r="C50">
        <v>1.35</v>
      </c>
      <c r="D50">
        <v>51</v>
      </c>
      <c r="F50" s="4"/>
    </row>
    <row r="51" spans="1:10" x14ac:dyDescent="0.3">
      <c r="A51" t="s">
        <v>12</v>
      </c>
      <c r="B51" t="s">
        <v>77</v>
      </c>
      <c r="C51">
        <v>1.54</v>
      </c>
      <c r="D51">
        <v>51</v>
      </c>
      <c r="F51" s="4"/>
    </row>
    <row r="52" spans="1:10" x14ac:dyDescent="0.3">
      <c r="A52" t="s">
        <v>12</v>
      </c>
      <c r="B52" t="s">
        <v>78</v>
      </c>
      <c r="C52">
        <v>1.73</v>
      </c>
      <c r="D52">
        <v>52</v>
      </c>
      <c r="F52" s="4"/>
    </row>
    <row r="53" spans="1:10" x14ac:dyDescent="0.3">
      <c r="A53" t="s">
        <v>12</v>
      </c>
      <c r="B53" t="s">
        <v>79</v>
      </c>
      <c r="C53">
        <v>2.0099999999999998</v>
      </c>
      <c r="D53">
        <v>54</v>
      </c>
      <c r="F53" s="4"/>
    </row>
    <row r="54" spans="1:10" x14ac:dyDescent="0.3">
      <c r="A54" t="s">
        <v>12</v>
      </c>
      <c r="B54" t="s">
        <v>80</v>
      </c>
    </row>
    <row r="55" spans="1:10" x14ac:dyDescent="0.3">
      <c r="A55" t="s">
        <v>13</v>
      </c>
      <c r="B55" t="s">
        <v>13</v>
      </c>
      <c r="C55">
        <v>1.8</v>
      </c>
      <c r="D55">
        <v>55</v>
      </c>
      <c r="G55">
        <f>AVERAGE(C55:C64)</f>
        <v>1.6939999999999997</v>
      </c>
      <c r="H55">
        <f>STDEV(C55:C64)</f>
        <v>0.26932838279278831</v>
      </c>
      <c r="I55">
        <f>AVERAGE(D55:D64)</f>
        <v>55.5</v>
      </c>
      <c r="J55">
        <f>STDEV(D55:D64)</f>
        <v>2.5495097567963922</v>
      </c>
    </row>
    <row r="56" spans="1:10" x14ac:dyDescent="0.3">
      <c r="A56" t="s">
        <v>13</v>
      </c>
      <c r="B56" t="s">
        <v>81</v>
      </c>
      <c r="C56">
        <v>1.28</v>
      </c>
      <c r="D56">
        <v>51</v>
      </c>
    </row>
    <row r="57" spans="1:10" x14ac:dyDescent="0.3">
      <c r="A57" t="s">
        <v>13</v>
      </c>
      <c r="B57" t="s">
        <v>82</v>
      </c>
      <c r="C57">
        <v>1.97</v>
      </c>
      <c r="D57">
        <v>59</v>
      </c>
    </row>
    <row r="58" spans="1:10" x14ac:dyDescent="0.3">
      <c r="A58" t="s">
        <v>13</v>
      </c>
      <c r="B58" t="s">
        <v>83</v>
      </c>
      <c r="C58">
        <v>2.0499999999999998</v>
      </c>
      <c r="D58">
        <v>58</v>
      </c>
    </row>
    <row r="59" spans="1:10" x14ac:dyDescent="0.3">
      <c r="A59" t="s">
        <v>13</v>
      </c>
      <c r="B59" t="s">
        <v>84</v>
      </c>
      <c r="C59">
        <v>1.53</v>
      </c>
      <c r="D59">
        <v>52</v>
      </c>
    </row>
    <row r="60" spans="1:10" x14ac:dyDescent="0.3">
      <c r="A60" t="s">
        <v>13</v>
      </c>
      <c r="B60" t="s">
        <v>85</v>
      </c>
      <c r="C60">
        <v>1.36</v>
      </c>
      <c r="D60">
        <v>54</v>
      </c>
    </row>
    <row r="61" spans="1:10" x14ac:dyDescent="0.3">
      <c r="A61" t="s">
        <v>13</v>
      </c>
      <c r="B61" t="s">
        <v>86</v>
      </c>
      <c r="C61">
        <v>2.0299999999999998</v>
      </c>
      <c r="D61">
        <v>57</v>
      </c>
    </row>
    <row r="62" spans="1:10" x14ac:dyDescent="0.3">
      <c r="A62" t="s">
        <v>13</v>
      </c>
      <c r="B62" t="s">
        <v>87</v>
      </c>
      <c r="C62">
        <v>1.7</v>
      </c>
      <c r="D62">
        <v>57</v>
      </c>
    </row>
    <row r="63" spans="1:10" x14ac:dyDescent="0.3">
      <c r="A63" t="s">
        <v>13</v>
      </c>
      <c r="B63" t="s">
        <v>88</v>
      </c>
      <c r="C63">
        <v>1.64</v>
      </c>
      <c r="D63">
        <v>56</v>
      </c>
    </row>
    <row r="64" spans="1:10" x14ac:dyDescent="0.3">
      <c r="A64" t="s">
        <v>13</v>
      </c>
      <c r="B64" t="s">
        <v>89</v>
      </c>
      <c r="C64">
        <v>1.58</v>
      </c>
      <c r="D64">
        <v>56</v>
      </c>
    </row>
    <row r="65" spans="1:15" x14ac:dyDescent="0.3">
      <c r="A65" t="s">
        <v>14</v>
      </c>
      <c r="B65" t="s">
        <v>90</v>
      </c>
      <c r="C65">
        <v>1.94</v>
      </c>
      <c r="D65">
        <v>62</v>
      </c>
      <c r="G65">
        <f>AVERAGE(C65:C74)</f>
        <v>1.6780000000000002</v>
      </c>
      <c r="H65">
        <f>STDEV(C65:C74)</f>
        <v>0.28369780479313433</v>
      </c>
      <c r="I65">
        <f>AVERAGE(D65:D74)</f>
        <v>57</v>
      </c>
      <c r="J65">
        <f>STDEV(D65:D74)</f>
        <v>3.2998316455372216</v>
      </c>
      <c r="L65">
        <f>AVERAGE(G65,G75,G85)</f>
        <v>1.7676666666666667</v>
      </c>
      <c r="M65">
        <f>STDEV(G65,G75,G85)</f>
        <v>0.11849191252289458</v>
      </c>
      <c r="N65">
        <f>AVERAGE(I65,I75,I85)</f>
        <v>57.433333333333337</v>
      </c>
      <c r="O65">
        <f>STDEV(I65,I75,I85)</f>
        <v>0.83864970836060793</v>
      </c>
    </row>
    <row r="66" spans="1:15" x14ac:dyDescent="0.3">
      <c r="A66" t="s">
        <v>14</v>
      </c>
      <c r="B66" t="s">
        <v>91</v>
      </c>
      <c r="C66">
        <v>1.54</v>
      </c>
      <c r="D66">
        <v>55</v>
      </c>
    </row>
    <row r="67" spans="1:15" x14ac:dyDescent="0.3">
      <c r="A67" t="s">
        <v>14</v>
      </c>
      <c r="B67" t="s">
        <v>14</v>
      </c>
      <c r="C67">
        <v>1.84</v>
      </c>
      <c r="D67">
        <v>59</v>
      </c>
    </row>
    <row r="68" spans="1:15" x14ac:dyDescent="0.3">
      <c r="A68" t="s">
        <v>14</v>
      </c>
      <c r="B68" t="s">
        <v>15</v>
      </c>
      <c r="C68">
        <v>1.33</v>
      </c>
      <c r="D68">
        <v>54</v>
      </c>
    </row>
    <row r="69" spans="1:15" x14ac:dyDescent="0.3">
      <c r="A69" t="s">
        <v>14</v>
      </c>
      <c r="B69" t="s">
        <v>16</v>
      </c>
      <c r="C69">
        <v>2.11</v>
      </c>
      <c r="D69">
        <v>62</v>
      </c>
    </row>
    <row r="70" spans="1:15" x14ac:dyDescent="0.3">
      <c r="A70" t="s">
        <v>14</v>
      </c>
      <c r="B70" t="s">
        <v>92</v>
      </c>
      <c r="C70">
        <v>1.62</v>
      </c>
      <c r="D70">
        <v>56</v>
      </c>
    </row>
    <row r="71" spans="1:15" x14ac:dyDescent="0.3">
      <c r="A71" t="s">
        <v>14</v>
      </c>
      <c r="B71" t="s">
        <v>93</v>
      </c>
      <c r="C71">
        <v>1.92</v>
      </c>
      <c r="D71">
        <v>57</v>
      </c>
    </row>
    <row r="72" spans="1:15" x14ac:dyDescent="0.3">
      <c r="A72" t="s">
        <v>14</v>
      </c>
      <c r="B72" t="s">
        <v>94</v>
      </c>
      <c r="C72">
        <v>1.54</v>
      </c>
      <c r="D72">
        <v>55</v>
      </c>
    </row>
    <row r="73" spans="1:15" x14ac:dyDescent="0.3">
      <c r="A73" t="s">
        <v>14</v>
      </c>
      <c r="B73" t="s">
        <v>95</v>
      </c>
      <c r="C73">
        <v>1.73</v>
      </c>
      <c r="D73">
        <v>58</v>
      </c>
    </row>
    <row r="74" spans="1:15" x14ac:dyDescent="0.3">
      <c r="A74" t="s">
        <v>14</v>
      </c>
      <c r="B74" t="s">
        <v>96</v>
      </c>
      <c r="C74">
        <v>1.21</v>
      </c>
      <c r="D74">
        <v>52</v>
      </c>
    </row>
    <row r="75" spans="1:15" x14ac:dyDescent="0.3">
      <c r="A75" t="s">
        <v>21</v>
      </c>
      <c r="B75" t="s">
        <v>97</v>
      </c>
      <c r="C75">
        <v>1.75</v>
      </c>
      <c r="D75">
        <v>58</v>
      </c>
      <c r="G75">
        <f>AVERAGE(C75:C84)</f>
        <v>1.9019999999999999</v>
      </c>
      <c r="H75">
        <f>STDEV(C75:C84)</f>
        <v>0.40358945036316785</v>
      </c>
      <c r="I75">
        <f>AVERAGE(D75:D84)</f>
        <v>58.4</v>
      </c>
      <c r="J75">
        <f>STDEV(D75:D84)</f>
        <v>3.7178249316263159</v>
      </c>
    </row>
    <row r="76" spans="1:15" x14ac:dyDescent="0.3">
      <c r="A76" t="s">
        <v>21</v>
      </c>
      <c r="B76" t="s">
        <v>98</v>
      </c>
      <c r="C76">
        <v>2.36</v>
      </c>
      <c r="D76">
        <v>61</v>
      </c>
    </row>
    <row r="77" spans="1:15" x14ac:dyDescent="0.3">
      <c r="A77" t="s">
        <v>21</v>
      </c>
      <c r="B77" t="s">
        <v>21</v>
      </c>
      <c r="C77">
        <v>2.11</v>
      </c>
      <c r="D77">
        <v>61</v>
      </c>
    </row>
    <row r="78" spans="1:15" x14ac:dyDescent="0.3">
      <c r="A78" t="s">
        <v>21</v>
      </c>
      <c r="B78" t="s">
        <v>17</v>
      </c>
      <c r="C78">
        <v>1.25</v>
      </c>
      <c r="D78">
        <v>52</v>
      </c>
    </row>
    <row r="79" spans="1:15" x14ac:dyDescent="0.3">
      <c r="A79" t="s">
        <v>21</v>
      </c>
      <c r="B79" t="s">
        <v>99</v>
      </c>
      <c r="C79">
        <v>1.65</v>
      </c>
      <c r="D79">
        <v>57</v>
      </c>
    </row>
    <row r="80" spans="1:15" x14ac:dyDescent="0.3">
      <c r="A80" t="s">
        <v>21</v>
      </c>
      <c r="B80" t="s">
        <v>100</v>
      </c>
      <c r="C80">
        <v>1.34</v>
      </c>
      <c r="D80">
        <v>53</v>
      </c>
    </row>
    <row r="81" spans="1:15" x14ac:dyDescent="0.3">
      <c r="A81" t="s">
        <v>21</v>
      </c>
      <c r="B81" t="s">
        <v>101</v>
      </c>
      <c r="C81">
        <v>2.27</v>
      </c>
      <c r="D81">
        <v>61</v>
      </c>
    </row>
    <row r="82" spans="1:15" x14ac:dyDescent="0.3">
      <c r="A82" t="s">
        <v>21</v>
      </c>
      <c r="B82" t="s">
        <v>102</v>
      </c>
      <c r="C82">
        <v>1.85</v>
      </c>
      <c r="D82">
        <v>58</v>
      </c>
    </row>
    <row r="83" spans="1:15" x14ac:dyDescent="0.3">
      <c r="A83" t="s">
        <v>21</v>
      </c>
      <c r="B83" t="s">
        <v>103</v>
      </c>
      <c r="C83">
        <v>2.0699999999999998</v>
      </c>
      <c r="D83">
        <v>59</v>
      </c>
    </row>
    <row r="84" spans="1:15" x14ac:dyDescent="0.3">
      <c r="A84" t="s">
        <v>21</v>
      </c>
      <c r="B84" t="s">
        <v>104</v>
      </c>
      <c r="C84">
        <v>2.37</v>
      </c>
      <c r="D84">
        <v>64</v>
      </c>
    </row>
    <row r="85" spans="1:15" x14ac:dyDescent="0.3">
      <c r="A85" t="s">
        <v>20</v>
      </c>
      <c r="B85" t="s">
        <v>105</v>
      </c>
      <c r="C85">
        <v>1.9</v>
      </c>
      <c r="D85">
        <v>58</v>
      </c>
      <c r="G85">
        <f>AVERAGE(C85:C94)</f>
        <v>1.7230000000000001</v>
      </c>
      <c r="H85">
        <f>STDEV(C85:C94)</f>
        <v>0.37285832877023545</v>
      </c>
      <c r="I85">
        <f>AVERAGE(D85:D94)</f>
        <v>56.9</v>
      </c>
      <c r="J85">
        <f>STDEV(D85:D94)</f>
        <v>3.5730472522297645</v>
      </c>
    </row>
    <row r="86" spans="1:15" x14ac:dyDescent="0.3">
      <c r="A86" t="s">
        <v>20</v>
      </c>
      <c r="B86" t="s">
        <v>106</v>
      </c>
      <c r="C86">
        <v>1.68</v>
      </c>
      <c r="D86">
        <v>57</v>
      </c>
    </row>
    <row r="87" spans="1:15" x14ac:dyDescent="0.3">
      <c r="A87" t="s">
        <v>20</v>
      </c>
      <c r="B87" t="s">
        <v>20</v>
      </c>
      <c r="C87">
        <v>1.81</v>
      </c>
      <c r="D87">
        <v>59</v>
      </c>
    </row>
    <row r="88" spans="1:15" x14ac:dyDescent="0.3">
      <c r="A88" t="s">
        <v>20</v>
      </c>
      <c r="B88" t="s">
        <v>107</v>
      </c>
      <c r="C88">
        <v>1.22</v>
      </c>
      <c r="D88">
        <v>52</v>
      </c>
    </row>
    <row r="89" spans="1:15" x14ac:dyDescent="0.3">
      <c r="A89" t="s">
        <v>20</v>
      </c>
      <c r="B89" t="s">
        <v>18</v>
      </c>
      <c r="C89">
        <v>1.62</v>
      </c>
      <c r="D89">
        <v>56</v>
      </c>
    </row>
    <row r="90" spans="1:15" x14ac:dyDescent="0.3">
      <c r="A90" t="s">
        <v>20</v>
      </c>
      <c r="B90" t="s">
        <v>108</v>
      </c>
      <c r="C90">
        <v>1.03</v>
      </c>
      <c r="D90">
        <v>50</v>
      </c>
    </row>
    <row r="91" spans="1:15" x14ac:dyDescent="0.3">
      <c r="A91" t="s">
        <v>20</v>
      </c>
      <c r="B91" t="s">
        <v>109</v>
      </c>
      <c r="C91">
        <v>1.97</v>
      </c>
      <c r="D91">
        <v>60</v>
      </c>
    </row>
    <row r="92" spans="1:15" x14ac:dyDescent="0.3">
      <c r="A92" t="s">
        <v>20</v>
      </c>
      <c r="B92" t="s">
        <v>110</v>
      </c>
      <c r="C92">
        <v>2.0299999999999998</v>
      </c>
      <c r="D92">
        <v>60</v>
      </c>
    </row>
    <row r="93" spans="1:15" x14ac:dyDescent="0.3">
      <c r="A93" t="s">
        <v>20</v>
      </c>
      <c r="B93" t="s">
        <v>111</v>
      </c>
      <c r="C93">
        <v>1.69</v>
      </c>
      <c r="D93">
        <v>56</v>
      </c>
    </row>
    <row r="94" spans="1:15" x14ac:dyDescent="0.3">
      <c r="A94" t="s">
        <v>20</v>
      </c>
      <c r="B94" t="s">
        <v>112</v>
      </c>
      <c r="C94">
        <v>2.2799999999999998</v>
      </c>
      <c r="D94">
        <v>61</v>
      </c>
    </row>
    <row r="95" spans="1:15" x14ac:dyDescent="0.3">
      <c r="A95" t="s">
        <v>19</v>
      </c>
      <c r="B95" t="s">
        <v>113</v>
      </c>
      <c r="C95">
        <v>1.76</v>
      </c>
      <c r="D95">
        <v>57</v>
      </c>
      <c r="G95">
        <f>AVERAGE(C95:C104)</f>
        <v>1.6379999999999999</v>
      </c>
      <c r="H95">
        <f>STDEV(C95:C104)</f>
        <v>0.22250093632761708</v>
      </c>
      <c r="I95">
        <f>AVERAGE(D95:D104)</f>
        <v>55.6</v>
      </c>
      <c r="J95">
        <f>STDEV(D95:D104)</f>
        <v>2.9135697844549542</v>
      </c>
      <c r="L95">
        <f>AVERAGE(G95,G105,G115)</f>
        <v>1.6697037037037037</v>
      </c>
      <c r="M95">
        <f>STDEV(G95,G105,G115)</f>
        <v>3.7509066119436656E-2</v>
      </c>
      <c r="N95">
        <f>AVERAGE(I95,I105,I115)</f>
        <v>56.577777777777783</v>
      </c>
      <c r="O95">
        <f>STDEV(I95,I105,I115)</f>
        <v>0.88777708246391895</v>
      </c>
    </row>
    <row r="96" spans="1:15" x14ac:dyDescent="0.3">
      <c r="A96" t="s">
        <v>19</v>
      </c>
      <c r="B96" t="s">
        <v>114</v>
      </c>
      <c r="C96">
        <v>1.65</v>
      </c>
      <c r="D96">
        <v>56</v>
      </c>
    </row>
    <row r="97" spans="1:10" x14ac:dyDescent="0.3">
      <c r="A97" t="s">
        <v>19</v>
      </c>
      <c r="B97" t="s">
        <v>115</v>
      </c>
      <c r="C97">
        <v>1.68</v>
      </c>
      <c r="D97">
        <v>56</v>
      </c>
    </row>
    <row r="98" spans="1:10" x14ac:dyDescent="0.3">
      <c r="A98" t="s">
        <v>19</v>
      </c>
      <c r="B98" t="s">
        <v>116</v>
      </c>
      <c r="C98">
        <v>1.95</v>
      </c>
      <c r="D98">
        <v>60</v>
      </c>
    </row>
    <row r="99" spans="1:10" x14ac:dyDescent="0.3">
      <c r="A99" t="s">
        <v>19</v>
      </c>
      <c r="B99" t="s">
        <v>117</v>
      </c>
      <c r="C99">
        <v>1.68</v>
      </c>
      <c r="D99">
        <v>57</v>
      </c>
    </row>
    <row r="100" spans="1:10" x14ac:dyDescent="0.3">
      <c r="A100" t="s">
        <v>19</v>
      </c>
      <c r="B100" t="s">
        <v>118</v>
      </c>
      <c r="C100">
        <v>1.62</v>
      </c>
      <c r="D100">
        <v>55</v>
      </c>
    </row>
    <row r="101" spans="1:10" x14ac:dyDescent="0.3">
      <c r="A101" t="s">
        <v>19</v>
      </c>
      <c r="B101" t="s">
        <v>119</v>
      </c>
      <c r="C101">
        <v>1.26</v>
      </c>
      <c r="D101">
        <v>51</v>
      </c>
    </row>
    <row r="102" spans="1:10" x14ac:dyDescent="0.3">
      <c r="A102" t="s">
        <v>19</v>
      </c>
      <c r="B102" t="s">
        <v>120</v>
      </c>
      <c r="C102">
        <v>1.41</v>
      </c>
      <c r="D102">
        <v>53</v>
      </c>
    </row>
    <row r="103" spans="1:10" x14ac:dyDescent="0.3">
      <c r="A103" t="s">
        <v>19</v>
      </c>
      <c r="B103" t="s">
        <v>121</v>
      </c>
      <c r="C103">
        <v>1.43</v>
      </c>
      <c r="D103">
        <v>52</v>
      </c>
    </row>
    <row r="104" spans="1:10" x14ac:dyDescent="0.3">
      <c r="A104" t="s">
        <v>19</v>
      </c>
      <c r="B104" t="s">
        <v>122</v>
      </c>
      <c r="C104">
        <v>1.94</v>
      </c>
      <c r="D104">
        <v>59</v>
      </c>
    </row>
    <row r="105" spans="1:10" x14ac:dyDescent="0.3">
      <c r="A105" t="s">
        <v>22</v>
      </c>
      <c r="B105" t="s">
        <v>123</v>
      </c>
      <c r="C105">
        <v>1.88</v>
      </c>
      <c r="D105">
        <v>61</v>
      </c>
      <c r="G105">
        <f>AVERAGE(C105:C114)</f>
        <v>1.7111111111111112</v>
      </c>
      <c r="H105">
        <f>STDEV(C105:C114)</f>
        <v>0.37055513909688326</v>
      </c>
      <c r="I105">
        <f>AVERAGE(D105:D114)</f>
        <v>57.333333333333336</v>
      </c>
      <c r="J105">
        <f>STDEV(D105:D114)</f>
        <v>3.9051248379533274</v>
      </c>
    </row>
    <row r="106" spans="1:10" x14ac:dyDescent="0.3">
      <c r="A106" t="s">
        <v>22</v>
      </c>
      <c r="B106" t="s">
        <v>124</v>
      </c>
      <c r="C106">
        <v>2.2799999999999998</v>
      </c>
      <c r="D106">
        <v>62</v>
      </c>
    </row>
    <row r="107" spans="1:10" x14ac:dyDescent="0.3">
      <c r="A107" t="s">
        <v>22</v>
      </c>
      <c r="B107" t="s">
        <v>125</v>
      </c>
      <c r="C107">
        <v>1.52</v>
      </c>
      <c r="D107">
        <v>56</v>
      </c>
    </row>
    <row r="108" spans="1:10" x14ac:dyDescent="0.3">
      <c r="A108" t="s">
        <v>22</v>
      </c>
      <c r="B108" t="s">
        <v>126</v>
      </c>
      <c r="C108">
        <v>1.63</v>
      </c>
      <c r="D108">
        <v>57</v>
      </c>
    </row>
    <row r="109" spans="1:10" x14ac:dyDescent="0.3">
      <c r="A109" t="s">
        <v>22</v>
      </c>
      <c r="B109" t="s">
        <v>127</v>
      </c>
      <c r="C109">
        <v>1.83</v>
      </c>
      <c r="D109">
        <v>60</v>
      </c>
    </row>
    <row r="110" spans="1:10" x14ac:dyDescent="0.3">
      <c r="A110" t="s">
        <v>22</v>
      </c>
      <c r="B110" t="s">
        <v>128</v>
      </c>
      <c r="C110">
        <v>1.65</v>
      </c>
      <c r="D110">
        <v>57</v>
      </c>
    </row>
    <row r="111" spans="1:10" x14ac:dyDescent="0.3">
      <c r="A111" t="s">
        <v>22</v>
      </c>
      <c r="B111" t="s">
        <v>129</v>
      </c>
      <c r="C111">
        <v>1.54</v>
      </c>
      <c r="D111">
        <v>55</v>
      </c>
    </row>
    <row r="112" spans="1:10" x14ac:dyDescent="0.3">
      <c r="A112" t="s">
        <v>22</v>
      </c>
      <c r="B112" t="s">
        <v>130</v>
      </c>
      <c r="C112">
        <v>2.08</v>
      </c>
      <c r="D112">
        <v>59</v>
      </c>
    </row>
    <row r="113" spans="1:15" x14ac:dyDescent="0.3">
      <c r="A113" t="s">
        <v>22</v>
      </c>
      <c r="B113" t="s">
        <v>131</v>
      </c>
      <c r="C113">
        <v>0.99</v>
      </c>
      <c r="D113">
        <v>49</v>
      </c>
    </row>
    <row r="114" spans="1:15" x14ac:dyDescent="0.3">
      <c r="A114" t="s">
        <v>22</v>
      </c>
      <c r="B114" t="s">
        <v>132</v>
      </c>
    </row>
    <row r="115" spans="1:15" x14ac:dyDescent="0.3">
      <c r="A115" t="s">
        <v>23</v>
      </c>
      <c r="B115" t="s">
        <v>133</v>
      </c>
      <c r="C115">
        <v>2.38</v>
      </c>
      <c r="D115">
        <v>63</v>
      </c>
      <c r="G115">
        <f>AVERAGE(C115:C124)</f>
        <v>1.6600000000000001</v>
      </c>
      <c r="H115">
        <f>STDEV(C115:C124)</f>
        <v>0.38735570790223822</v>
      </c>
      <c r="I115">
        <f>AVERAGE(D115:D124)</f>
        <v>56.8</v>
      </c>
      <c r="J115">
        <f>STDEV(D115:D124)</f>
        <v>3.7357135269658404</v>
      </c>
    </row>
    <row r="116" spans="1:15" x14ac:dyDescent="0.3">
      <c r="A116" t="s">
        <v>23</v>
      </c>
      <c r="B116" t="s">
        <v>134</v>
      </c>
      <c r="C116">
        <v>1.95</v>
      </c>
      <c r="D116">
        <v>59</v>
      </c>
    </row>
    <row r="117" spans="1:15" x14ac:dyDescent="0.3">
      <c r="A117" t="s">
        <v>23</v>
      </c>
      <c r="B117" t="s">
        <v>135</v>
      </c>
      <c r="C117">
        <v>1.98</v>
      </c>
      <c r="D117">
        <v>61</v>
      </c>
    </row>
    <row r="118" spans="1:15" x14ac:dyDescent="0.3">
      <c r="A118" t="s">
        <v>23</v>
      </c>
      <c r="B118" t="s">
        <v>136</v>
      </c>
      <c r="C118">
        <v>1.38</v>
      </c>
      <c r="D118">
        <v>54</v>
      </c>
    </row>
    <row r="119" spans="1:15" x14ac:dyDescent="0.3">
      <c r="A119" t="s">
        <v>23</v>
      </c>
      <c r="B119" t="s">
        <v>137</v>
      </c>
      <c r="C119">
        <v>1.71</v>
      </c>
      <c r="D119">
        <v>57</v>
      </c>
    </row>
    <row r="120" spans="1:15" x14ac:dyDescent="0.3">
      <c r="A120" t="s">
        <v>23</v>
      </c>
      <c r="B120" t="s">
        <v>138</v>
      </c>
      <c r="C120">
        <v>1.79</v>
      </c>
      <c r="D120">
        <v>59</v>
      </c>
    </row>
    <row r="121" spans="1:15" x14ac:dyDescent="0.3">
      <c r="A121" t="s">
        <v>23</v>
      </c>
      <c r="B121" t="s">
        <v>139</v>
      </c>
      <c r="C121">
        <v>1.26</v>
      </c>
      <c r="D121">
        <v>53</v>
      </c>
    </row>
    <row r="122" spans="1:15" x14ac:dyDescent="0.3">
      <c r="A122" t="s">
        <v>23</v>
      </c>
      <c r="B122" t="s">
        <v>140</v>
      </c>
      <c r="C122">
        <v>1.06</v>
      </c>
      <c r="D122">
        <v>51</v>
      </c>
    </row>
    <row r="123" spans="1:15" x14ac:dyDescent="0.3">
      <c r="A123" t="s">
        <v>23</v>
      </c>
      <c r="B123" t="s">
        <v>141</v>
      </c>
      <c r="C123">
        <v>1.57</v>
      </c>
      <c r="D123">
        <v>56</v>
      </c>
    </row>
    <row r="124" spans="1:15" x14ac:dyDescent="0.3">
      <c r="A124" t="s">
        <v>23</v>
      </c>
      <c r="B124" t="s">
        <v>142</v>
      </c>
      <c r="C124">
        <v>1.52</v>
      </c>
      <c r="D124">
        <v>55</v>
      </c>
    </row>
    <row r="125" spans="1:15" x14ac:dyDescent="0.3">
      <c r="A125" t="s">
        <v>24</v>
      </c>
      <c r="B125" t="s">
        <v>143</v>
      </c>
      <c r="C125">
        <v>2.34</v>
      </c>
      <c r="D125">
        <v>63</v>
      </c>
      <c r="G125">
        <f>AVERAGE(C125:C134)</f>
        <v>1.7249999999999996</v>
      </c>
      <c r="H125">
        <f>STDEV(C125:C134)</f>
        <v>0.33550128332260171</v>
      </c>
      <c r="I125">
        <f>AVERAGE(D125:D134)</f>
        <v>57.8</v>
      </c>
      <c r="J125">
        <f>STDEV(D125:D134)</f>
        <v>3.5839146815241638</v>
      </c>
      <c r="L125">
        <f>AVERAGE(G125,G135,G145)</f>
        <v>1.7276666666666667</v>
      </c>
      <c r="M125">
        <f>STDEV(G125,G135,G145)</f>
        <v>0.14101891126133867</v>
      </c>
      <c r="N125">
        <f>AVERAGE(I125,I135,I145)</f>
        <v>55.314814814814817</v>
      </c>
      <c r="O125">
        <f>STDEV(I125,I135,I145)</f>
        <v>2.1841837001987678</v>
      </c>
    </row>
    <row r="126" spans="1:15" x14ac:dyDescent="0.3">
      <c r="A126" t="s">
        <v>24</v>
      </c>
      <c r="B126" t="s">
        <v>144</v>
      </c>
      <c r="C126">
        <v>1.94</v>
      </c>
      <c r="D126">
        <v>61</v>
      </c>
    </row>
    <row r="127" spans="1:15" x14ac:dyDescent="0.3">
      <c r="A127" t="s">
        <v>24</v>
      </c>
      <c r="B127" t="s">
        <v>145</v>
      </c>
      <c r="C127">
        <v>1.46</v>
      </c>
      <c r="D127">
        <v>55</v>
      </c>
    </row>
    <row r="128" spans="1:15" x14ac:dyDescent="0.3">
      <c r="A128" t="s">
        <v>24</v>
      </c>
      <c r="B128" t="s">
        <v>146</v>
      </c>
      <c r="C128">
        <v>1.43</v>
      </c>
      <c r="D128">
        <v>53</v>
      </c>
    </row>
    <row r="129" spans="1:10" x14ac:dyDescent="0.3">
      <c r="A129" t="s">
        <v>24</v>
      </c>
      <c r="B129" t="s">
        <v>147</v>
      </c>
      <c r="C129">
        <v>1.1499999999999999</v>
      </c>
      <c r="D129">
        <v>52</v>
      </c>
    </row>
    <row r="130" spans="1:10" x14ac:dyDescent="0.3">
      <c r="A130" t="s">
        <v>24</v>
      </c>
      <c r="B130" t="s">
        <v>148</v>
      </c>
      <c r="C130">
        <v>1.61</v>
      </c>
      <c r="D130">
        <v>57</v>
      </c>
    </row>
    <row r="131" spans="1:10" x14ac:dyDescent="0.3">
      <c r="A131" t="s">
        <v>24</v>
      </c>
      <c r="B131" t="s">
        <v>149</v>
      </c>
      <c r="C131">
        <v>1.99</v>
      </c>
      <c r="D131">
        <v>61</v>
      </c>
    </row>
    <row r="132" spans="1:10" x14ac:dyDescent="0.3">
      <c r="A132" t="s">
        <v>24</v>
      </c>
      <c r="B132" t="s">
        <v>150</v>
      </c>
      <c r="C132">
        <v>1.83</v>
      </c>
      <c r="D132">
        <v>59</v>
      </c>
    </row>
    <row r="133" spans="1:10" x14ac:dyDescent="0.3">
      <c r="A133" t="s">
        <v>24</v>
      </c>
      <c r="B133" t="s">
        <v>151</v>
      </c>
      <c r="C133">
        <v>1.7</v>
      </c>
      <c r="D133">
        <v>58</v>
      </c>
    </row>
    <row r="134" spans="1:10" x14ac:dyDescent="0.3">
      <c r="A134" t="s">
        <v>24</v>
      </c>
      <c r="B134" t="s">
        <v>152</v>
      </c>
      <c r="C134">
        <v>1.8</v>
      </c>
      <c r="D134">
        <v>59</v>
      </c>
    </row>
    <row r="135" spans="1:10" x14ac:dyDescent="0.3">
      <c r="A135" t="s">
        <v>25</v>
      </c>
      <c r="B135" t="s">
        <v>153</v>
      </c>
      <c r="C135">
        <v>1.84</v>
      </c>
      <c r="D135">
        <v>55</v>
      </c>
      <c r="G135">
        <f>AVERAGE(C135:C144)</f>
        <v>1.5880000000000001</v>
      </c>
      <c r="H135">
        <f>STDEV(C135:C144)</f>
        <v>0.17047645650418053</v>
      </c>
      <c r="I135">
        <f>AVERAGE(D135:D144)</f>
        <v>53.7</v>
      </c>
      <c r="J135">
        <f>STDEV(D135:D144)</f>
        <v>1.636391694484477</v>
      </c>
    </row>
    <row r="136" spans="1:10" x14ac:dyDescent="0.3">
      <c r="A136" t="s">
        <v>25</v>
      </c>
      <c r="B136" t="s">
        <v>154</v>
      </c>
      <c r="C136">
        <v>1.39</v>
      </c>
      <c r="D136">
        <v>54</v>
      </c>
    </row>
    <row r="137" spans="1:10" x14ac:dyDescent="0.3">
      <c r="A137" t="s">
        <v>25</v>
      </c>
      <c r="B137" t="s">
        <v>155</v>
      </c>
      <c r="C137">
        <v>1.47</v>
      </c>
      <c r="D137">
        <v>54</v>
      </c>
    </row>
    <row r="138" spans="1:10" x14ac:dyDescent="0.3">
      <c r="A138" t="s">
        <v>25</v>
      </c>
      <c r="B138" t="s">
        <v>156</v>
      </c>
      <c r="C138">
        <v>1.64</v>
      </c>
      <c r="D138">
        <v>52</v>
      </c>
    </row>
    <row r="139" spans="1:10" x14ac:dyDescent="0.3">
      <c r="A139" t="s">
        <v>25</v>
      </c>
      <c r="B139" t="s">
        <v>157</v>
      </c>
      <c r="C139">
        <v>1.75</v>
      </c>
      <c r="D139">
        <v>52</v>
      </c>
    </row>
    <row r="140" spans="1:10" x14ac:dyDescent="0.3">
      <c r="A140" t="s">
        <v>25</v>
      </c>
      <c r="B140" t="s">
        <v>158</v>
      </c>
      <c r="C140">
        <v>1.41</v>
      </c>
      <c r="D140">
        <v>53</v>
      </c>
    </row>
    <row r="141" spans="1:10" x14ac:dyDescent="0.3">
      <c r="A141" t="s">
        <v>25</v>
      </c>
      <c r="B141" t="s">
        <v>159</v>
      </c>
      <c r="C141">
        <v>1.83</v>
      </c>
      <c r="D141">
        <v>53</v>
      </c>
    </row>
    <row r="142" spans="1:10" x14ac:dyDescent="0.3">
      <c r="A142" t="s">
        <v>25</v>
      </c>
      <c r="B142" t="s">
        <v>160</v>
      </c>
      <c r="C142">
        <v>1.48</v>
      </c>
      <c r="D142">
        <v>52</v>
      </c>
    </row>
    <row r="143" spans="1:10" x14ac:dyDescent="0.3">
      <c r="A143" t="s">
        <v>25</v>
      </c>
      <c r="B143" t="s">
        <v>161</v>
      </c>
      <c r="C143">
        <v>1.47</v>
      </c>
      <c r="D143">
        <v>55</v>
      </c>
    </row>
    <row r="144" spans="1:10" x14ac:dyDescent="0.3">
      <c r="A144" t="s">
        <v>25</v>
      </c>
      <c r="B144" t="s">
        <v>162</v>
      </c>
      <c r="C144">
        <v>1.6</v>
      </c>
      <c r="D144">
        <v>57</v>
      </c>
    </row>
    <row r="145" spans="1:15" x14ac:dyDescent="0.3">
      <c r="A145" t="s">
        <v>26</v>
      </c>
      <c r="B145" t="s">
        <v>163</v>
      </c>
      <c r="C145">
        <v>1.63</v>
      </c>
      <c r="D145">
        <v>51</v>
      </c>
      <c r="F145" s="4" t="s">
        <v>234</v>
      </c>
      <c r="G145">
        <f>AVERAGE(C145:C154)</f>
        <v>1.8699999999999999</v>
      </c>
      <c r="H145">
        <f>STDEV(C145:C154)</f>
        <v>0.1902629759044045</v>
      </c>
      <c r="I145">
        <f>AVERAGE(D145:D154)</f>
        <v>54.444444444444443</v>
      </c>
      <c r="J145">
        <f>STDEV(D145:D154)</f>
        <v>2.7888667551135851</v>
      </c>
    </row>
    <row r="146" spans="1:15" x14ac:dyDescent="0.3">
      <c r="A146" t="s">
        <v>26</v>
      </c>
      <c r="B146" t="s">
        <v>164</v>
      </c>
      <c r="C146">
        <v>1.91</v>
      </c>
      <c r="D146">
        <v>54</v>
      </c>
      <c r="F146" s="4"/>
    </row>
    <row r="147" spans="1:15" x14ac:dyDescent="0.3">
      <c r="A147" t="s">
        <v>26</v>
      </c>
      <c r="B147" t="s">
        <v>165</v>
      </c>
      <c r="C147">
        <v>1.82</v>
      </c>
      <c r="D147">
        <v>53</v>
      </c>
      <c r="F147" s="4"/>
    </row>
    <row r="148" spans="1:15" x14ac:dyDescent="0.3">
      <c r="A148" t="s">
        <v>26</v>
      </c>
      <c r="B148" t="s">
        <v>166</v>
      </c>
      <c r="C148">
        <v>1.86</v>
      </c>
      <c r="D148">
        <v>52</v>
      </c>
      <c r="F148" s="4"/>
    </row>
    <row r="149" spans="1:15" x14ac:dyDescent="0.3">
      <c r="A149" t="s">
        <v>26</v>
      </c>
      <c r="B149" t="s">
        <v>167</v>
      </c>
      <c r="C149">
        <v>1.77</v>
      </c>
      <c r="D149">
        <v>53</v>
      </c>
      <c r="F149" s="4"/>
    </row>
    <row r="150" spans="1:15" x14ac:dyDescent="0.3">
      <c r="A150" t="s">
        <v>26</v>
      </c>
      <c r="B150" t="s">
        <v>168</v>
      </c>
      <c r="C150">
        <v>2.31</v>
      </c>
      <c r="D150">
        <v>57</v>
      </c>
      <c r="F150" s="4"/>
    </row>
    <row r="151" spans="1:15" x14ac:dyDescent="0.3">
      <c r="A151" t="s">
        <v>26</v>
      </c>
      <c r="B151" t="s">
        <v>169</v>
      </c>
      <c r="C151">
        <v>1.95</v>
      </c>
      <c r="D151">
        <v>56</v>
      </c>
      <c r="F151" s="4"/>
    </row>
    <row r="152" spans="1:15" x14ac:dyDescent="0.3">
      <c r="A152" t="s">
        <v>26</v>
      </c>
      <c r="B152" t="s">
        <v>170</v>
      </c>
      <c r="C152">
        <v>1.84</v>
      </c>
      <c r="D152">
        <v>54</v>
      </c>
      <c r="F152" s="4"/>
    </row>
    <row r="153" spans="1:15" x14ac:dyDescent="0.3">
      <c r="A153" t="s">
        <v>26</v>
      </c>
      <c r="B153" t="s">
        <v>171</v>
      </c>
      <c r="C153">
        <v>1.74</v>
      </c>
      <c r="D153">
        <v>60</v>
      </c>
      <c r="F153" s="4"/>
    </row>
    <row r="154" spans="1:15" x14ac:dyDescent="0.3">
      <c r="A154" t="s">
        <v>26</v>
      </c>
      <c r="B154" t="s">
        <v>172</v>
      </c>
    </row>
    <row r="155" spans="1:15" x14ac:dyDescent="0.3">
      <c r="A155" t="s">
        <v>27</v>
      </c>
      <c r="B155" t="s">
        <v>173</v>
      </c>
      <c r="C155">
        <v>1.91</v>
      </c>
      <c r="D155">
        <v>56</v>
      </c>
      <c r="E155" t="s">
        <v>224</v>
      </c>
      <c r="G155">
        <f>AVERAGE(C155:C164)</f>
        <v>1.6850000000000001</v>
      </c>
      <c r="H155">
        <f>STDEV(C155:C164)</f>
        <v>0.29163333142835257</v>
      </c>
      <c r="I155">
        <f>AVERAGE(D155:D164)</f>
        <v>54.5</v>
      </c>
      <c r="J155">
        <f>STDEV(D155:D164)</f>
        <v>1.509230856356236</v>
      </c>
      <c r="L155">
        <f>AVERAGE(G155,G165,G175)</f>
        <v>1.5650000000000002</v>
      </c>
      <c r="M155">
        <f>STDEV(G155,G165,G175)</f>
        <v>0.10404326023342415</v>
      </c>
      <c r="N155">
        <f>AVERAGE(I155,I165,I175)</f>
        <v>54.9</v>
      </c>
      <c r="O155">
        <f>STDEV(I155,I165,I175)</f>
        <v>0.52915026221291761</v>
      </c>
    </row>
    <row r="156" spans="1:15" x14ac:dyDescent="0.3">
      <c r="A156" t="s">
        <v>27</v>
      </c>
      <c r="B156" t="s">
        <v>174</v>
      </c>
      <c r="C156">
        <v>1.78</v>
      </c>
      <c r="D156">
        <v>57</v>
      </c>
    </row>
    <row r="157" spans="1:15" x14ac:dyDescent="0.3">
      <c r="A157" t="s">
        <v>27</v>
      </c>
      <c r="B157" t="s">
        <v>175</v>
      </c>
      <c r="C157">
        <v>1.86</v>
      </c>
      <c r="D157">
        <v>54</v>
      </c>
    </row>
    <row r="158" spans="1:15" x14ac:dyDescent="0.3">
      <c r="A158" t="s">
        <v>27</v>
      </c>
      <c r="B158" t="s">
        <v>176</v>
      </c>
      <c r="C158">
        <v>2.11</v>
      </c>
      <c r="D158">
        <v>56</v>
      </c>
    </row>
    <row r="159" spans="1:15" x14ac:dyDescent="0.3">
      <c r="A159" t="s">
        <v>27</v>
      </c>
      <c r="B159" t="s">
        <v>177</v>
      </c>
      <c r="C159">
        <v>1.34</v>
      </c>
      <c r="D159">
        <v>52</v>
      </c>
    </row>
    <row r="160" spans="1:15" x14ac:dyDescent="0.3">
      <c r="A160" t="s">
        <v>27</v>
      </c>
      <c r="B160" t="s">
        <v>178</v>
      </c>
      <c r="C160">
        <v>1.84</v>
      </c>
      <c r="D160">
        <v>55</v>
      </c>
    </row>
    <row r="161" spans="1:10" x14ac:dyDescent="0.3">
      <c r="A161" t="s">
        <v>27</v>
      </c>
      <c r="B161" t="s">
        <v>179</v>
      </c>
      <c r="C161">
        <v>1.73</v>
      </c>
      <c r="D161">
        <v>54</v>
      </c>
    </row>
    <row r="162" spans="1:10" x14ac:dyDescent="0.3">
      <c r="A162" t="s">
        <v>27</v>
      </c>
      <c r="B162" t="s">
        <v>180</v>
      </c>
      <c r="C162">
        <v>1.73</v>
      </c>
      <c r="D162">
        <v>54</v>
      </c>
    </row>
    <row r="163" spans="1:10" x14ac:dyDescent="0.3">
      <c r="A163" t="s">
        <v>27</v>
      </c>
      <c r="B163" t="s">
        <v>181</v>
      </c>
      <c r="C163">
        <v>1.35</v>
      </c>
      <c r="D163">
        <v>53</v>
      </c>
    </row>
    <row r="164" spans="1:10" x14ac:dyDescent="0.3">
      <c r="A164" t="s">
        <v>27</v>
      </c>
      <c r="B164" t="s">
        <v>182</v>
      </c>
      <c r="C164">
        <v>1.2</v>
      </c>
      <c r="D164">
        <v>54</v>
      </c>
    </row>
    <row r="165" spans="1:10" x14ac:dyDescent="0.3">
      <c r="A165" t="s">
        <v>28</v>
      </c>
      <c r="B165" t="s">
        <v>183</v>
      </c>
      <c r="C165">
        <v>1.47</v>
      </c>
      <c r="D165">
        <v>54</v>
      </c>
      <c r="G165">
        <f>AVERAGE(C165:C174)</f>
        <v>1.5099999999999998</v>
      </c>
      <c r="H165">
        <f>STDEV(C165:C174)</f>
        <v>0.30655795174449257</v>
      </c>
      <c r="I165">
        <f>AVERAGE(D165:D174)</f>
        <v>55.5</v>
      </c>
      <c r="J165">
        <f>STDEV(D165:D174)</f>
        <v>3.1001792062897122</v>
      </c>
    </row>
    <row r="166" spans="1:10" x14ac:dyDescent="0.3">
      <c r="A166" t="s">
        <v>28</v>
      </c>
      <c r="B166" t="s">
        <v>184</v>
      </c>
      <c r="C166">
        <v>1.86</v>
      </c>
      <c r="D166">
        <v>59</v>
      </c>
    </row>
    <row r="167" spans="1:10" x14ac:dyDescent="0.3">
      <c r="A167" t="s">
        <v>28</v>
      </c>
      <c r="B167" t="s">
        <v>185</v>
      </c>
      <c r="C167">
        <v>1.08</v>
      </c>
      <c r="D167">
        <v>50</v>
      </c>
    </row>
    <row r="168" spans="1:10" x14ac:dyDescent="0.3">
      <c r="A168" t="s">
        <v>28</v>
      </c>
      <c r="B168" t="s">
        <v>186</v>
      </c>
      <c r="C168">
        <v>1.64</v>
      </c>
      <c r="D168">
        <v>57</v>
      </c>
    </row>
    <row r="169" spans="1:10" x14ac:dyDescent="0.3">
      <c r="A169" t="s">
        <v>28</v>
      </c>
      <c r="B169" t="s">
        <v>187</v>
      </c>
      <c r="C169">
        <v>1.92</v>
      </c>
      <c r="D169">
        <v>59</v>
      </c>
    </row>
    <row r="170" spans="1:10" x14ac:dyDescent="0.3">
      <c r="A170" t="s">
        <v>28</v>
      </c>
      <c r="B170" t="s">
        <v>188</v>
      </c>
      <c r="C170">
        <v>1.75</v>
      </c>
      <c r="D170">
        <v>58</v>
      </c>
    </row>
    <row r="171" spans="1:10" x14ac:dyDescent="0.3">
      <c r="A171" t="s">
        <v>28</v>
      </c>
      <c r="B171" t="s">
        <v>189</v>
      </c>
      <c r="C171">
        <v>1.07</v>
      </c>
      <c r="D171">
        <v>52</v>
      </c>
    </row>
    <row r="172" spans="1:10" x14ac:dyDescent="0.3">
      <c r="A172" t="s">
        <v>28</v>
      </c>
      <c r="B172" t="s">
        <v>190</v>
      </c>
      <c r="C172">
        <v>1.54</v>
      </c>
      <c r="D172">
        <v>56</v>
      </c>
    </row>
    <row r="173" spans="1:10" x14ac:dyDescent="0.3">
      <c r="A173" t="s">
        <v>28</v>
      </c>
      <c r="B173" t="s">
        <v>191</v>
      </c>
      <c r="C173">
        <v>1.57</v>
      </c>
      <c r="D173">
        <v>57</v>
      </c>
    </row>
    <row r="174" spans="1:10" x14ac:dyDescent="0.3">
      <c r="A174" t="s">
        <v>28</v>
      </c>
      <c r="B174" t="s">
        <v>192</v>
      </c>
      <c r="C174">
        <v>1.2</v>
      </c>
      <c r="D174">
        <v>53</v>
      </c>
    </row>
    <row r="175" spans="1:10" x14ac:dyDescent="0.3">
      <c r="A175" t="s">
        <v>29</v>
      </c>
      <c r="B175" t="s">
        <v>225</v>
      </c>
      <c r="C175">
        <v>1.21</v>
      </c>
      <c r="D175">
        <v>52</v>
      </c>
      <c r="G175">
        <f>AVERAGE(C175:C184)</f>
        <v>1.5</v>
      </c>
      <c r="H175">
        <f>STDEV(C175:C184)</f>
        <v>0.30735430152621385</v>
      </c>
      <c r="I175">
        <f>AVERAGE(D175:D184)</f>
        <v>54.7</v>
      </c>
      <c r="J175">
        <f>STDEV(D175:D184)</f>
        <v>3.8600518131237567</v>
      </c>
    </row>
    <row r="176" spans="1:10" x14ac:dyDescent="0.3">
      <c r="A176" t="s">
        <v>29</v>
      </c>
      <c r="B176" t="s">
        <v>226</v>
      </c>
      <c r="C176">
        <v>1.85</v>
      </c>
      <c r="D176">
        <v>58</v>
      </c>
    </row>
    <row r="177" spans="1:15" x14ac:dyDescent="0.3">
      <c r="A177" t="s">
        <v>29</v>
      </c>
      <c r="B177" t="s">
        <v>227</v>
      </c>
      <c r="C177">
        <v>1.94</v>
      </c>
      <c r="D177">
        <v>61</v>
      </c>
    </row>
    <row r="178" spans="1:15" x14ac:dyDescent="0.3">
      <c r="A178" t="s">
        <v>29</v>
      </c>
      <c r="B178" t="s">
        <v>228</v>
      </c>
      <c r="C178">
        <v>1.1100000000000001</v>
      </c>
      <c r="D178">
        <v>50</v>
      </c>
    </row>
    <row r="179" spans="1:15" x14ac:dyDescent="0.3">
      <c r="A179" t="s">
        <v>29</v>
      </c>
      <c r="B179" t="s">
        <v>229</v>
      </c>
      <c r="C179">
        <v>1.6</v>
      </c>
      <c r="D179">
        <v>54</v>
      </c>
    </row>
    <row r="180" spans="1:15" x14ac:dyDescent="0.3">
      <c r="A180" t="s">
        <v>29</v>
      </c>
      <c r="B180" t="s">
        <v>230</v>
      </c>
      <c r="C180">
        <v>1.01</v>
      </c>
      <c r="D180">
        <v>48</v>
      </c>
    </row>
    <row r="181" spans="1:15" x14ac:dyDescent="0.3">
      <c r="A181" t="s">
        <v>29</v>
      </c>
      <c r="B181" t="s">
        <v>231</v>
      </c>
      <c r="C181">
        <v>1.71</v>
      </c>
      <c r="D181">
        <v>56</v>
      </c>
    </row>
    <row r="182" spans="1:15" x14ac:dyDescent="0.3">
      <c r="A182" t="s">
        <v>29</v>
      </c>
      <c r="B182" t="s">
        <v>232</v>
      </c>
      <c r="C182">
        <v>1.51</v>
      </c>
      <c r="D182">
        <v>56</v>
      </c>
    </row>
    <row r="183" spans="1:15" x14ac:dyDescent="0.3">
      <c r="A183" t="s">
        <v>29</v>
      </c>
      <c r="B183" t="s">
        <v>233</v>
      </c>
      <c r="C183">
        <v>1.56</v>
      </c>
      <c r="D183">
        <v>57</v>
      </c>
    </row>
    <row r="184" spans="1:15" x14ac:dyDescent="0.3">
      <c r="A184" t="s">
        <v>29</v>
      </c>
      <c r="B184" t="s">
        <v>193</v>
      </c>
      <c r="C184">
        <v>1.5</v>
      </c>
      <c r="D184">
        <v>55</v>
      </c>
    </row>
    <row r="185" spans="1:15" x14ac:dyDescent="0.3">
      <c r="A185" t="s">
        <v>30</v>
      </c>
      <c r="B185" t="s">
        <v>194</v>
      </c>
      <c r="C185">
        <v>2.14</v>
      </c>
      <c r="D185">
        <v>57</v>
      </c>
      <c r="E185" t="s">
        <v>224</v>
      </c>
      <c r="F185" s="4" t="s">
        <v>264</v>
      </c>
      <c r="G185">
        <f>AVERAGE(C185:C194)</f>
        <v>1.7400000000000002</v>
      </c>
      <c r="H185">
        <f>STDEV(C185:C194)</f>
        <v>0.34413452519119614</v>
      </c>
      <c r="I185">
        <f>AVERAGE(D185:D194)</f>
        <v>52.625</v>
      </c>
      <c r="J185">
        <f>STDEV(D185:D194)</f>
        <v>3.5431019500674021</v>
      </c>
      <c r="L185">
        <f>AVERAGE(G185,G195,G205)</f>
        <v>1.7022222222222225</v>
      </c>
      <c r="M185">
        <f>STDEV(G185,G195,G205)</f>
        <v>7.2273486079775309E-2</v>
      </c>
      <c r="N185">
        <f>AVERAGE(I185,I195,I205)</f>
        <v>55.356481481481488</v>
      </c>
      <c r="O185">
        <f>STDEV(I185,I195,I205)</f>
        <v>2.443194651042087</v>
      </c>
    </row>
    <row r="186" spans="1:15" x14ac:dyDescent="0.3">
      <c r="A186" t="s">
        <v>30</v>
      </c>
      <c r="B186" t="s">
        <v>195</v>
      </c>
      <c r="C186">
        <v>2.16</v>
      </c>
      <c r="D186">
        <v>56</v>
      </c>
      <c r="E186" t="s">
        <v>224</v>
      </c>
      <c r="F186" s="4"/>
    </row>
    <row r="187" spans="1:15" x14ac:dyDescent="0.3">
      <c r="A187" t="s">
        <v>30</v>
      </c>
      <c r="B187" t="s">
        <v>196</v>
      </c>
      <c r="C187">
        <v>1.56</v>
      </c>
      <c r="D187">
        <v>52</v>
      </c>
      <c r="F187" s="4"/>
    </row>
    <row r="188" spans="1:15" x14ac:dyDescent="0.3">
      <c r="A188" t="s">
        <v>30</v>
      </c>
      <c r="B188" t="s">
        <v>197</v>
      </c>
      <c r="C188">
        <v>1.76</v>
      </c>
      <c r="D188">
        <v>52</v>
      </c>
      <c r="F188" s="4"/>
    </row>
    <row r="189" spans="1:15" x14ac:dyDescent="0.3">
      <c r="A189" t="s">
        <v>30</v>
      </c>
      <c r="B189" t="s">
        <v>198</v>
      </c>
      <c r="C189">
        <v>1.98</v>
      </c>
      <c r="D189">
        <v>56</v>
      </c>
      <c r="F189" s="4"/>
    </row>
    <row r="190" spans="1:15" x14ac:dyDescent="0.3">
      <c r="A190" t="s">
        <v>30</v>
      </c>
      <c r="B190" t="s">
        <v>199</v>
      </c>
      <c r="C190">
        <v>1.53</v>
      </c>
      <c r="D190">
        <v>52</v>
      </c>
      <c r="F190" s="4"/>
    </row>
    <row r="191" spans="1:15" x14ac:dyDescent="0.3">
      <c r="A191" t="s">
        <v>30</v>
      </c>
      <c r="B191" t="s">
        <v>200</v>
      </c>
      <c r="C191">
        <v>1.64</v>
      </c>
      <c r="D191">
        <v>49</v>
      </c>
      <c r="F191" s="4"/>
    </row>
    <row r="192" spans="1:15" x14ac:dyDescent="0.3">
      <c r="A192" t="s">
        <v>30</v>
      </c>
      <c r="B192" t="s">
        <v>201</v>
      </c>
      <c r="C192">
        <v>1.1499999999999999</v>
      </c>
      <c r="D192">
        <v>47</v>
      </c>
      <c r="F192" s="4"/>
    </row>
    <row r="193" spans="1:10" x14ac:dyDescent="0.3">
      <c r="A193" t="s">
        <v>30</v>
      </c>
      <c r="B193" t="s">
        <v>202</v>
      </c>
      <c r="F193" s="4"/>
    </row>
    <row r="194" spans="1:10" x14ac:dyDescent="0.3">
      <c r="A194" t="s">
        <v>30</v>
      </c>
      <c r="B194" t="s">
        <v>203</v>
      </c>
    </row>
    <row r="195" spans="1:10" x14ac:dyDescent="0.3">
      <c r="A195" t="s">
        <v>31</v>
      </c>
      <c r="B195" t="s">
        <v>204</v>
      </c>
      <c r="C195">
        <v>1.81</v>
      </c>
      <c r="D195">
        <v>57</v>
      </c>
      <c r="G195">
        <f>AVERAGE(C195:C204)</f>
        <v>1.6188888888888888</v>
      </c>
      <c r="H195">
        <f>STDEV(C195:C204)</f>
        <v>0.33994280564693674</v>
      </c>
      <c r="I195">
        <f>AVERAGE(D195:D204)</f>
        <v>56.111111111111114</v>
      </c>
      <c r="J195">
        <f>STDEV(D195:D204)</f>
        <v>3.6893239368631088</v>
      </c>
    </row>
    <row r="196" spans="1:10" x14ac:dyDescent="0.3">
      <c r="A196" t="s">
        <v>31</v>
      </c>
      <c r="B196" t="s">
        <v>205</v>
      </c>
      <c r="C196">
        <v>1.78</v>
      </c>
      <c r="D196">
        <v>59</v>
      </c>
    </row>
    <row r="197" spans="1:10" x14ac:dyDescent="0.3">
      <c r="A197" t="s">
        <v>31</v>
      </c>
      <c r="B197" t="s">
        <v>206</v>
      </c>
      <c r="C197">
        <v>1.39</v>
      </c>
      <c r="D197">
        <v>55</v>
      </c>
    </row>
    <row r="198" spans="1:10" x14ac:dyDescent="0.3">
      <c r="A198" t="s">
        <v>31</v>
      </c>
      <c r="B198" t="s">
        <v>207</v>
      </c>
      <c r="C198">
        <v>1.85</v>
      </c>
      <c r="D198">
        <v>58</v>
      </c>
    </row>
    <row r="199" spans="1:10" x14ac:dyDescent="0.3">
      <c r="A199" t="s">
        <v>31</v>
      </c>
      <c r="B199" t="s">
        <v>208</v>
      </c>
      <c r="C199">
        <v>1.87</v>
      </c>
      <c r="D199">
        <v>59</v>
      </c>
    </row>
    <row r="200" spans="1:10" x14ac:dyDescent="0.3">
      <c r="A200" t="s">
        <v>31</v>
      </c>
      <c r="B200" t="s">
        <v>209</v>
      </c>
      <c r="C200">
        <v>1.01</v>
      </c>
      <c r="D200">
        <v>48</v>
      </c>
    </row>
    <row r="201" spans="1:10" x14ac:dyDescent="0.3">
      <c r="A201" t="s">
        <v>31</v>
      </c>
      <c r="B201" t="s">
        <v>210</v>
      </c>
      <c r="C201">
        <v>2.04</v>
      </c>
      <c r="D201">
        <v>60</v>
      </c>
    </row>
    <row r="202" spans="1:10" x14ac:dyDescent="0.3">
      <c r="A202" t="s">
        <v>31</v>
      </c>
      <c r="B202" t="s">
        <v>211</v>
      </c>
      <c r="C202">
        <v>1.58</v>
      </c>
      <c r="D202">
        <v>55</v>
      </c>
    </row>
    <row r="203" spans="1:10" x14ac:dyDescent="0.3">
      <c r="A203" t="s">
        <v>31</v>
      </c>
      <c r="B203" t="s">
        <v>212</v>
      </c>
      <c r="C203">
        <v>1.24</v>
      </c>
      <c r="D203">
        <v>54</v>
      </c>
    </row>
    <row r="204" spans="1:10" x14ac:dyDescent="0.3">
      <c r="A204" t="s">
        <v>31</v>
      </c>
      <c r="B204" t="s">
        <v>213</v>
      </c>
    </row>
    <row r="205" spans="1:10" x14ac:dyDescent="0.3">
      <c r="A205" t="s">
        <v>32</v>
      </c>
      <c r="B205" t="s">
        <v>214</v>
      </c>
      <c r="C205">
        <v>1.43</v>
      </c>
      <c r="D205">
        <v>53</v>
      </c>
      <c r="G205">
        <f>AVERAGE(C205:C214)</f>
        <v>1.7477777777777779</v>
      </c>
      <c r="H205">
        <f>STDEV(C205:C214)</f>
        <v>0.23842072989663607</v>
      </c>
      <c r="I205">
        <f>AVERAGE(D205:D214)</f>
        <v>57.333333333333336</v>
      </c>
      <c r="J205">
        <f>STDEV(D205:D214)</f>
        <v>2.8284271247461903</v>
      </c>
    </row>
    <row r="206" spans="1:10" x14ac:dyDescent="0.3">
      <c r="A206" t="s">
        <v>32</v>
      </c>
      <c r="B206" t="s">
        <v>215</v>
      </c>
      <c r="C206">
        <v>2.06</v>
      </c>
      <c r="D206">
        <v>59</v>
      </c>
    </row>
    <row r="207" spans="1:10" x14ac:dyDescent="0.3">
      <c r="A207" t="s">
        <v>32</v>
      </c>
      <c r="B207" t="s">
        <v>216</v>
      </c>
      <c r="C207">
        <v>1.62</v>
      </c>
      <c r="D207">
        <v>57</v>
      </c>
    </row>
    <row r="208" spans="1:10" x14ac:dyDescent="0.3">
      <c r="A208" t="s">
        <v>32</v>
      </c>
      <c r="B208" t="s">
        <v>217</v>
      </c>
      <c r="C208">
        <v>2.0099999999999998</v>
      </c>
      <c r="D208">
        <v>62</v>
      </c>
    </row>
    <row r="209" spans="1:4" x14ac:dyDescent="0.3">
      <c r="A209" t="s">
        <v>32</v>
      </c>
      <c r="B209" t="s">
        <v>218</v>
      </c>
      <c r="C209">
        <v>1.61</v>
      </c>
      <c r="D209">
        <v>56</v>
      </c>
    </row>
    <row r="210" spans="1:4" x14ac:dyDescent="0.3">
      <c r="A210" t="s">
        <v>32</v>
      </c>
      <c r="B210" t="s">
        <v>219</v>
      </c>
      <c r="C210">
        <v>1.77</v>
      </c>
      <c r="D210">
        <v>58</v>
      </c>
    </row>
    <row r="211" spans="1:4" x14ac:dyDescent="0.3">
      <c r="A211" t="s">
        <v>32</v>
      </c>
      <c r="B211" t="s">
        <v>220</v>
      </c>
      <c r="C211">
        <v>1.56</v>
      </c>
      <c r="D211">
        <v>57</v>
      </c>
    </row>
    <row r="212" spans="1:4" x14ac:dyDescent="0.3">
      <c r="A212" t="s">
        <v>32</v>
      </c>
      <c r="B212" t="s">
        <v>221</v>
      </c>
      <c r="C212">
        <v>1.61</v>
      </c>
      <c r="D212">
        <v>54</v>
      </c>
    </row>
    <row r="213" spans="1:4" x14ac:dyDescent="0.3">
      <c r="A213" t="s">
        <v>32</v>
      </c>
      <c r="B213" t="s">
        <v>222</v>
      </c>
      <c r="C213">
        <v>2.06</v>
      </c>
      <c r="D213">
        <v>60</v>
      </c>
    </row>
    <row r="214" spans="1:4" x14ac:dyDescent="0.3">
      <c r="A214" t="s">
        <v>32</v>
      </c>
      <c r="B214" t="s">
        <v>223</v>
      </c>
    </row>
  </sheetData>
  <mergeCells count="4">
    <mergeCell ref="F145:F153"/>
    <mergeCell ref="F45:F53"/>
    <mergeCell ref="F35:F44"/>
    <mergeCell ref="F185:F193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4D218-0E1F-BB49-B9DC-2C2A1F7BFD0F}">
  <dimension ref="A1:G9"/>
  <sheetViews>
    <sheetView tabSelected="1" workbookViewId="0">
      <selection activeCell="D15" sqref="D15"/>
    </sheetView>
  </sheetViews>
  <sheetFormatPr defaultColWidth="11" defaultRowHeight="15.6" x14ac:dyDescent="0.3"/>
  <cols>
    <col min="2" max="2" width="16.69921875" customWidth="1"/>
    <col min="4" max="4" width="17.296875" customWidth="1"/>
    <col min="6" max="6" width="18.8984375" customWidth="1"/>
  </cols>
  <sheetData>
    <row r="1" spans="1:7" x14ac:dyDescent="0.3">
      <c r="B1" t="s">
        <v>267</v>
      </c>
      <c r="D1" t="s">
        <v>268</v>
      </c>
      <c r="F1" t="s">
        <v>269</v>
      </c>
    </row>
    <row r="2" spans="1:7" x14ac:dyDescent="0.3">
      <c r="A2" t="s">
        <v>258</v>
      </c>
      <c r="B2" t="s">
        <v>259</v>
      </c>
      <c r="C2" t="s">
        <v>240</v>
      </c>
      <c r="D2" t="s">
        <v>271</v>
      </c>
      <c r="E2" t="s">
        <v>240</v>
      </c>
      <c r="F2" t="s">
        <v>270</v>
      </c>
      <c r="G2" t="s">
        <v>240</v>
      </c>
    </row>
    <row r="3" spans="1:7" x14ac:dyDescent="0.3">
      <c r="A3" t="s">
        <v>265</v>
      </c>
      <c r="B3">
        <f>AVERAGE(Mortalities!G3:G5)</f>
        <v>0</v>
      </c>
      <c r="C3">
        <f>STDEV(Mortalities!G3:G5)</f>
        <v>0</v>
      </c>
      <c r="D3">
        <f>Termination!L4</f>
        <v>1.7106666666666666</v>
      </c>
      <c r="E3">
        <f>Termination!M4</f>
        <v>0.11480563284670921</v>
      </c>
      <c r="F3">
        <f>Termination!N4</f>
        <v>57.6</v>
      </c>
      <c r="G3">
        <f>Termination!O4</f>
        <v>0.7810249675906642</v>
      </c>
    </row>
    <row r="4" spans="1:7" x14ac:dyDescent="0.3">
      <c r="A4">
        <v>1</v>
      </c>
      <c r="B4">
        <f>AVERAGE(Mortalities!G6:G8)</f>
        <v>2.7777777777777772</v>
      </c>
      <c r="C4">
        <f>STDEV(Mortalities!G6:G8)</f>
        <v>4.8112522432468809</v>
      </c>
      <c r="D4">
        <f>Termination!L35</f>
        <v>1.7623333333333333</v>
      </c>
      <c r="E4">
        <f>Termination!M35</f>
        <v>6.0698709486556195E-2</v>
      </c>
      <c r="F4">
        <f>Termination!N35</f>
        <v>53.9</v>
      </c>
      <c r="G4">
        <f>Termination!O35</f>
        <v>1.3892443989449796</v>
      </c>
    </row>
    <row r="5" spans="1:7" x14ac:dyDescent="0.3">
      <c r="A5">
        <v>3</v>
      </c>
      <c r="B5">
        <f>AVERAGE(Mortalities!G9:G11)</f>
        <v>0</v>
      </c>
      <c r="C5">
        <f>STDEV(Mortalities!G9:G11)</f>
        <v>0</v>
      </c>
      <c r="D5">
        <f>Termination!L65</f>
        <v>1.7676666666666667</v>
      </c>
      <c r="E5">
        <f>Termination!M65</f>
        <v>0.11849191252289458</v>
      </c>
      <c r="F5">
        <f>Termination!N65</f>
        <v>57.433333333333337</v>
      </c>
      <c r="G5">
        <f>Termination!O65</f>
        <v>0.83864970836060793</v>
      </c>
    </row>
    <row r="6" spans="1:7" x14ac:dyDescent="0.3">
      <c r="A6">
        <v>10</v>
      </c>
      <c r="B6">
        <f>AVERAGE(Mortalities!G12:G14)</f>
        <v>0</v>
      </c>
      <c r="C6">
        <f>STDEV(Mortalities!G12:G14)</f>
        <v>0</v>
      </c>
      <c r="D6">
        <f>Termination!L95</f>
        <v>1.6697037037037037</v>
      </c>
      <c r="E6">
        <f>Termination!M95</f>
        <v>3.7509066119436656E-2</v>
      </c>
      <c r="F6">
        <f>Termination!N95</f>
        <v>56.577777777777783</v>
      </c>
      <c r="G6">
        <f>Termination!O95</f>
        <v>0.88777708246391895</v>
      </c>
    </row>
    <row r="7" spans="1:7" x14ac:dyDescent="0.3">
      <c r="A7">
        <v>30</v>
      </c>
      <c r="B7">
        <f>AVERAGE(Mortalities!G15:G17)</f>
        <v>0</v>
      </c>
      <c r="C7">
        <f>STDEV(Mortalities!G15:G17)</f>
        <v>0</v>
      </c>
      <c r="D7">
        <f>Termination!L125</f>
        <v>1.7276666666666667</v>
      </c>
      <c r="E7">
        <f>Termination!M125</f>
        <v>0.14101891126133867</v>
      </c>
      <c r="F7">
        <f>Termination!N125</f>
        <v>55.314814814814817</v>
      </c>
      <c r="G7">
        <f>Termination!O125</f>
        <v>2.1841837001987678</v>
      </c>
    </row>
    <row r="8" spans="1:7" x14ac:dyDescent="0.3">
      <c r="A8">
        <v>100</v>
      </c>
      <c r="B8">
        <f>AVERAGE(Mortalities!G18:G20)</f>
        <v>0.83333333333333337</v>
      </c>
      <c r="C8">
        <f>STDEV(Mortalities!G18:G20)</f>
        <v>1.4433756729740643</v>
      </c>
      <c r="D8">
        <f>Termination!L155</f>
        <v>1.5650000000000002</v>
      </c>
      <c r="E8">
        <f>Termination!M155</f>
        <v>0.10404326023342415</v>
      </c>
      <c r="F8">
        <f>Termination!N155</f>
        <v>54.9</v>
      </c>
      <c r="G8">
        <f>Termination!O155</f>
        <v>0.52915026221291761</v>
      </c>
    </row>
    <row r="9" spans="1:7" x14ac:dyDescent="0.3">
      <c r="A9">
        <v>300</v>
      </c>
      <c r="B9">
        <f>AVERAGE(Mortalities!G21:G23)</f>
        <v>3.3333333333333335</v>
      </c>
      <c r="C9">
        <f>STDEV(Mortalities!G21:G23)</f>
        <v>5.7735026918962573</v>
      </c>
      <c r="D9">
        <f>Termination!L185</f>
        <v>1.7022222222222225</v>
      </c>
      <c r="E9">
        <f>Termination!M185</f>
        <v>7.2273486079775309E-2</v>
      </c>
      <c r="F9">
        <f>Termination!N185</f>
        <v>55.356481481481488</v>
      </c>
      <c r="G9">
        <f>Termination!O185</f>
        <v>2.443194651042087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Legend</vt:lpstr>
      <vt:lpstr>Mortalities</vt:lpstr>
      <vt:lpstr>Water Quality</vt:lpstr>
      <vt:lpstr>Termination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---</dc:creator>
  <cp:lastModifiedBy>Cale Gushulak</cp:lastModifiedBy>
  <dcterms:created xsi:type="dcterms:W3CDTF">2019-07-07T19:36:39Z</dcterms:created>
  <dcterms:modified xsi:type="dcterms:W3CDTF">2025-08-20T23:56:21Z</dcterms:modified>
</cp:coreProperties>
</file>