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caleg\Dropbox\University of Regina PostDoc\Urea dugouts\Submission\Data for upload\"/>
    </mc:Choice>
  </mc:AlternateContent>
  <xr:revisionPtr revIDLastSave="0" documentId="13_ncr:1_{5DC98D94-1D83-4C3F-B359-40C9C8A9BB4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aw data" sheetId="1" r:id="rId1"/>
    <sheet name="Mean 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72" i="1" l="1"/>
  <c r="AA72" i="1"/>
  <c r="Z72" i="1"/>
  <c r="Y72" i="1"/>
  <c r="X72" i="1"/>
  <c r="AB46" i="1"/>
  <c r="AA46" i="1"/>
  <c r="Z46" i="1"/>
  <c r="Y46" i="1"/>
  <c r="X46" i="1"/>
  <c r="AB17" i="1"/>
  <c r="AA17" i="1"/>
  <c r="Z17" i="1"/>
  <c r="Y17" i="1"/>
  <c r="X17" i="1"/>
  <c r="X3" i="1"/>
  <c r="Y3" i="1"/>
  <c r="Z3" i="1"/>
  <c r="AA3" i="1"/>
  <c r="AB3" i="1"/>
  <c r="X4" i="1"/>
  <c r="Y4" i="1"/>
  <c r="Z4" i="1"/>
  <c r="AA4" i="1"/>
  <c r="AB4" i="1"/>
  <c r="X5" i="1"/>
  <c r="Y5" i="1"/>
  <c r="Z5" i="1"/>
  <c r="AA5" i="1"/>
  <c r="AB5" i="1"/>
  <c r="X6" i="1"/>
  <c r="Y6" i="1"/>
  <c r="Z6" i="1"/>
  <c r="AA6" i="1"/>
  <c r="AB6" i="1"/>
  <c r="X7" i="1"/>
  <c r="Y7" i="1"/>
  <c r="Z7" i="1"/>
  <c r="AA7" i="1"/>
  <c r="AB7" i="1"/>
  <c r="X8" i="1"/>
  <c r="Y8" i="1"/>
  <c r="Z8" i="1"/>
  <c r="AA8" i="1"/>
  <c r="AB8" i="1"/>
  <c r="X9" i="1"/>
  <c r="Y9" i="1"/>
  <c r="Z9" i="1"/>
  <c r="AA9" i="1"/>
  <c r="AB9" i="1"/>
  <c r="X10" i="1"/>
  <c r="Y10" i="1"/>
  <c r="Z10" i="1"/>
  <c r="AA10" i="1"/>
  <c r="AB10" i="1"/>
  <c r="X11" i="1"/>
  <c r="Y11" i="1"/>
  <c r="Z11" i="1"/>
  <c r="AA11" i="1"/>
  <c r="AB11" i="1"/>
  <c r="X12" i="1"/>
  <c r="Y12" i="1"/>
  <c r="Z12" i="1"/>
  <c r="AA12" i="1"/>
  <c r="AB12" i="1"/>
  <c r="X13" i="1"/>
  <c r="Y13" i="1"/>
  <c r="Z13" i="1"/>
  <c r="AA13" i="1"/>
  <c r="AB13" i="1"/>
  <c r="X14" i="1"/>
  <c r="Y14" i="1"/>
  <c r="Z14" i="1"/>
  <c r="AA14" i="1"/>
  <c r="AB14" i="1"/>
  <c r="X15" i="1"/>
  <c r="Y15" i="1"/>
  <c r="Z15" i="1"/>
  <c r="AA15" i="1"/>
  <c r="AB15" i="1"/>
  <c r="X16" i="1"/>
  <c r="Y16" i="1"/>
  <c r="Z16" i="1"/>
  <c r="AA16" i="1"/>
  <c r="AB16" i="1"/>
  <c r="X18" i="1"/>
  <c r="Y18" i="1"/>
  <c r="Z18" i="1"/>
  <c r="AA18" i="1"/>
  <c r="AB18" i="1"/>
  <c r="X19" i="1"/>
  <c r="Y19" i="1"/>
  <c r="Z19" i="1"/>
  <c r="AA19" i="1"/>
  <c r="AB19" i="1"/>
  <c r="X20" i="1"/>
  <c r="Y20" i="1"/>
  <c r="Z20" i="1"/>
  <c r="AA20" i="1"/>
  <c r="AB20" i="1"/>
  <c r="X21" i="1"/>
  <c r="Y21" i="1"/>
  <c r="Z21" i="1"/>
  <c r="AA21" i="1"/>
  <c r="AB21" i="1"/>
  <c r="X22" i="1"/>
  <c r="Y22" i="1"/>
  <c r="Z22" i="1"/>
  <c r="AA22" i="1"/>
  <c r="AB22" i="1"/>
  <c r="X23" i="1"/>
  <c r="Y23" i="1"/>
  <c r="Z23" i="1"/>
  <c r="AA23" i="1"/>
  <c r="AB23" i="1"/>
  <c r="X24" i="1"/>
  <c r="Y24" i="1"/>
  <c r="Z24" i="1"/>
  <c r="AA24" i="1"/>
  <c r="AB24" i="1"/>
  <c r="X25" i="1"/>
  <c r="Y25" i="1"/>
  <c r="Z25" i="1"/>
  <c r="AA25" i="1"/>
  <c r="AB25" i="1"/>
  <c r="X26" i="1"/>
  <c r="Y26" i="1"/>
  <c r="Z26" i="1"/>
  <c r="AA26" i="1"/>
  <c r="AB26" i="1"/>
  <c r="X27" i="1"/>
  <c r="Y27" i="1"/>
  <c r="Z27" i="1"/>
  <c r="AA27" i="1"/>
  <c r="AB27" i="1"/>
  <c r="X28" i="1"/>
  <c r="Y28" i="1"/>
  <c r="Z28" i="1"/>
  <c r="AA28" i="1"/>
  <c r="AB28" i="1"/>
  <c r="X29" i="1"/>
  <c r="Y29" i="1"/>
  <c r="Z29" i="1"/>
  <c r="AA29" i="1"/>
  <c r="AB29" i="1"/>
  <c r="X30" i="1"/>
  <c r="Y30" i="1"/>
  <c r="Z30" i="1"/>
  <c r="AA30" i="1"/>
  <c r="AB30" i="1"/>
  <c r="X31" i="1"/>
  <c r="Y31" i="1"/>
  <c r="Z31" i="1"/>
  <c r="AA31" i="1"/>
  <c r="AB31" i="1"/>
  <c r="X32" i="1"/>
  <c r="Y32" i="1"/>
  <c r="Z32" i="1"/>
  <c r="AA32" i="1"/>
  <c r="AB32" i="1"/>
  <c r="X33" i="1"/>
  <c r="Y33" i="1"/>
  <c r="Z33" i="1"/>
  <c r="AA33" i="1"/>
  <c r="AB33" i="1"/>
  <c r="X34" i="1"/>
  <c r="Y34" i="1"/>
  <c r="Z34" i="1"/>
  <c r="AA34" i="1"/>
  <c r="AB34" i="1"/>
  <c r="X35" i="1"/>
  <c r="Y35" i="1"/>
  <c r="Z35" i="1"/>
  <c r="AA35" i="1"/>
  <c r="AB35" i="1"/>
  <c r="X36" i="1"/>
  <c r="Y36" i="1"/>
  <c r="Z36" i="1"/>
  <c r="AA36" i="1"/>
  <c r="AB36" i="1"/>
  <c r="X37" i="1"/>
  <c r="Y37" i="1"/>
  <c r="Z37" i="1"/>
  <c r="AA37" i="1"/>
  <c r="AB37" i="1"/>
  <c r="X38" i="1"/>
  <c r="Y38" i="1"/>
  <c r="Z38" i="1"/>
  <c r="AA38" i="1"/>
  <c r="AB38" i="1"/>
  <c r="X39" i="1"/>
  <c r="Y39" i="1"/>
  <c r="Z39" i="1"/>
  <c r="AA39" i="1"/>
  <c r="AB39" i="1"/>
  <c r="X40" i="1"/>
  <c r="Y40" i="1"/>
  <c r="Z40" i="1"/>
  <c r="AA40" i="1"/>
  <c r="AB40" i="1"/>
  <c r="X41" i="1"/>
  <c r="Y41" i="1"/>
  <c r="Z41" i="1"/>
  <c r="AA41" i="1"/>
  <c r="AB41" i="1"/>
  <c r="X42" i="1"/>
  <c r="Y42" i="1"/>
  <c r="Z42" i="1"/>
  <c r="AA42" i="1"/>
  <c r="AB42" i="1"/>
  <c r="X43" i="1"/>
  <c r="Y43" i="1"/>
  <c r="Z43" i="1"/>
  <c r="AA43" i="1"/>
  <c r="AB43" i="1"/>
  <c r="X44" i="1"/>
  <c r="Y44" i="1"/>
  <c r="Z44" i="1"/>
  <c r="AA44" i="1"/>
  <c r="AB44" i="1"/>
  <c r="X45" i="1"/>
  <c r="Y45" i="1"/>
  <c r="Z45" i="1"/>
  <c r="AA45" i="1"/>
  <c r="AB45" i="1"/>
  <c r="X47" i="1"/>
  <c r="Y47" i="1"/>
  <c r="Z47" i="1"/>
  <c r="AA47" i="1"/>
  <c r="AB47" i="1"/>
  <c r="X48" i="1"/>
  <c r="Y48" i="1"/>
  <c r="Z48" i="1"/>
  <c r="AA48" i="1"/>
  <c r="AB48" i="1"/>
  <c r="X49" i="1"/>
  <c r="Y49" i="1"/>
  <c r="Z49" i="1"/>
  <c r="AA49" i="1"/>
  <c r="AB49" i="1"/>
  <c r="X50" i="1"/>
  <c r="Y50" i="1"/>
  <c r="Z50" i="1"/>
  <c r="AA50" i="1"/>
  <c r="AB50" i="1"/>
  <c r="X51" i="1"/>
  <c r="Y51" i="1"/>
  <c r="Z51" i="1"/>
  <c r="AA51" i="1"/>
  <c r="AB51" i="1"/>
  <c r="X52" i="1"/>
  <c r="Y52" i="1"/>
  <c r="Z52" i="1"/>
  <c r="AA52" i="1"/>
  <c r="AB52" i="1"/>
  <c r="X53" i="1"/>
  <c r="Y53" i="1"/>
  <c r="Z53" i="1"/>
  <c r="AA53" i="1"/>
  <c r="AB53" i="1"/>
  <c r="X54" i="1"/>
  <c r="Y54" i="1"/>
  <c r="Z54" i="1"/>
  <c r="AA54" i="1"/>
  <c r="AB54" i="1"/>
  <c r="X55" i="1"/>
  <c r="Y55" i="1"/>
  <c r="Z55" i="1"/>
  <c r="AA55" i="1"/>
  <c r="AB55" i="1"/>
  <c r="X56" i="1"/>
  <c r="Y56" i="1"/>
  <c r="Z56" i="1"/>
  <c r="AA56" i="1"/>
  <c r="AB56" i="1"/>
  <c r="X57" i="1"/>
  <c r="Y57" i="1"/>
  <c r="Z57" i="1"/>
  <c r="AA57" i="1"/>
  <c r="AB57" i="1"/>
  <c r="X58" i="1"/>
  <c r="Y58" i="1"/>
  <c r="Z58" i="1"/>
  <c r="AA58" i="1"/>
  <c r="AB58" i="1"/>
  <c r="X59" i="1"/>
  <c r="Y59" i="1"/>
  <c r="Z59" i="1"/>
  <c r="AA59" i="1"/>
  <c r="AB59" i="1"/>
  <c r="X60" i="1"/>
  <c r="Y60" i="1"/>
  <c r="Z60" i="1"/>
  <c r="AA60" i="1"/>
  <c r="AB60" i="1"/>
  <c r="X61" i="1"/>
  <c r="Y61" i="1"/>
  <c r="Z61" i="1"/>
  <c r="AA61" i="1"/>
  <c r="AB61" i="1"/>
  <c r="X62" i="1"/>
  <c r="Y62" i="1"/>
  <c r="Z62" i="1"/>
  <c r="AA62" i="1"/>
  <c r="AB62" i="1"/>
  <c r="X63" i="1"/>
  <c r="Y63" i="1"/>
  <c r="Z63" i="1"/>
  <c r="AA63" i="1"/>
  <c r="AB63" i="1"/>
  <c r="X64" i="1"/>
  <c r="Y64" i="1"/>
  <c r="Z64" i="1"/>
  <c r="AA64" i="1"/>
  <c r="AB64" i="1"/>
  <c r="X65" i="1"/>
  <c r="Y65" i="1"/>
  <c r="Z65" i="1"/>
  <c r="AA65" i="1"/>
  <c r="AB65" i="1"/>
  <c r="X66" i="1"/>
  <c r="Y66" i="1"/>
  <c r="Z66" i="1"/>
  <c r="AA66" i="1"/>
  <c r="AB66" i="1"/>
  <c r="X67" i="1"/>
  <c r="Y67" i="1"/>
  <c r="Z67" i="1"/>
  <c r="AA67" i="1"/>
  <c r="AB67" i="1"/>
  <c r="X68" i="1"/>
  <c r="Y68" i="1"/>
  <c r="Z68" i="1"/>
  <c r="AA68" i="1"/>
  <c r="AB68" i="1"/>
  <c r="X69" i="1"/>
  <c r="Y69" i="1"/>
  <c r="Z69" i="1"/>
  <c r="AA69" i="1"/>
  <c r="AB69" i="1"/>
  <c r="X70" i="1"/>
  <c r="Y70" i="1"/>
  <c r="Z70" i="1"/>
  <c r="AA70" i="1"/>
  <c r="AB70" i="1"/>
  <c r="X71" i="1"/>
  <c r="Y71" i="1"/>
  <c r="Z71" i="1"/>
  <c r="AA71" i="1"/>
  <c r="AB71" i="1"/>
  <c r="X73" i="1"/>
  <c r="Y73" i="1"/>
  <c r="Z73" i="1"/>
  <c r="AA73" i="1"/>
  <c r="AB73" i="1"/>
  <c r="X74" i="1"/>
  <c r="Y74" i="1"/>
  <c r="Z74" i="1"/>
  <c r="AA74" i="1"/>
  <c r="AB74" i="1"/>
  <c r="X75" i="1"/>
  <c r="Y75" i="1"/>
  <c r="Z75" i="1"/>
  <c r="AA75" i="1"/>
  <c r="AB75" i="1"/>
  <c r="X76" i="1"/>
  <c r="Y76" i="1"/>
  <c r="Z76" i="1"/>
  <c r="AA76" i="1"/>
  <c r="AB76" i="1"/>
  <c r="X77" i="1"/>
  <c r="Y77" i="1"/>
  <c r="Z77" i="1"/>
  <c r="AA77" i="1"/>
  <c r="AB77" i="1"/>
  <c r="X78" i="1"/>
  <c r="Y78" i="1"/>
  <c r="Z78" i="1"/>
  <c r="AA78" i="1"/>
  <c r="AB78" i="1"/>
  <c r="X79" i="1"/>
  <c r="Y79" i="1"/>
  <c r="Z79" i="1"/>
  <c r="AA79" i="1"/>
  <c r="AB79" i="1"/>
  <c r="X80" i="1"/>
  <c r="Y80" i="1"/>
  <c r="Z80" i="1"/>
  <c r="AA80" i="1"/>
  <c r="AB80" i="1"/>
  <c r="X81" i="1"/>
  <c r="Y81" i="1"/>
  <c r="Z81" i="1"/>
  <c r="AA81" i="1"/>
  <c r="AB81" i="1"/>
  <c r="X82" i="1"/>
  <c r="Y82" i="1"/>
  <c r="Z82" i="1"/>
  <c r="AA82" i="1"/>
  <c r="AB82" i="1"/>
  <c r="X83" i="1"/>
  <c r="Y83" i="1"/>
  <c r="Z83" i="1"/>
  <c r="AA83" i="1"/>
  <c r="AB83" i="1"/>
  <c r="X84" i="1"/>
  <c r="Y84" i="1"/>
  <c r="Z84" i="1"/>
  <c r="AA84" i="1"/>
  <c r="AB84" i="1"/>
  <c r="X85" i="1"/>
  <c r="Y85" i="1"/>
  <c r="Z85" i="1"/>
  <c r="AA85" i="1"/>
  <c r="AB85" i="1"/>
  <c r="X86" i="1"/>
  <c r="Y86" i="1"/>
  <c r="Z86" i="1"/>
  <c r="AA86" i="1"/>
  <c r="AB86" i="1"/>
  <c r="X87" i="1"/>
  <c r="Y87" i="1"/>
  <c r="Z87" i="1"/>
  <c r="AA87" i="1"/>
  <c r="AB87" i="1"/>
  <c r="X88" i="1"/>
  <c r="Y88" i="1"/>
  <c r="Z88" i="1"/>
  <c r="AA88" i="1"/>
  <c r="AB88" i="1"/>
  <c r="X89" i="1"/>
  <c r="Y89" i="1"/>
  <c r="Z89" i="1"/>
  <c r="AA89" i="1"/>
  <c r="AB89" i="1"/>
  <c r="X90" i="1"/>
  <c r="Y90" i="1"/>
  <c r="Z90" i="1"/>
  <c r="AA90" i="1"/>
  <c r="AB90" i="1"/>
  <c r="X91" i="1"/>
  <c r="Y91" i="1"/>
  <c r="Z91" i="1"/>
  <c r="AA91" i="1"/>
  <c r="AB91" i="1"/>
  <c r="X92" i="1"/>
  <c r="Y92" i="1"/>
  <c r="Z92" i="1"/>
  <c r="AA92" i="1"/>
  <c r="AB92" i="1"/>
  <c r="X93" i="1"/>
  <c r="Y93" i="1"/>
  <c r="Z93" i="1"/>
  <c r="AA93" i="1"/>
  <c r="AB93" i="1"/>
  <c r="X94" i="1"/>
  <c r="Y94" i="1"/>
  <c r="Z94" i="1"/>
  <c r="AA94" i="1"/>
  <c r="AB94" i="1"/>
  <c r="X95" i="1"/>
  <c r="Y95" i="1"/>
  <c r="Z95" i="1"/>
  <c r="AA95" i="1"/>
  <c r="AB95" i="1"/>
  <c r="X96" i="1"/>
  <c r="Y96" i="1"/>
  <c r="Z96" i="1"/>
  <c r="AA96" i="1"/>
  <c r="AB96" i="1"/>
  <c r="X97" i="1"/>
  <c r="Y97" i="1"/>
  <c r="Z97" i="1"/>
  <c r="AA97" i="1"/>
  <c r="AB97" i="1"/>
  <c r="X98" i="1"/>
  <c r="Y98" i="1"/>
  <c r="Z98" i="1"/>
  <c r="AA98" i="1"/>
  <c r="AB98" i="1"/>
  <c r="X99" i="1"/>
  <c r="Y99" i="1"/>
  <c r="Z99" i="1"/>
  <c r="AA99" i="1"/>
  <c r="AB99" i="1"/>
  <c r="X100" i="1"/>
  <c r="Y100" i="1"/>
  <c r="Z100" i="1"/>
  <c r="AA100" i="1"/>
  <c r="AB100" i="1"/>
  <c r="X101" i="1"/>
  <c r="Y101" i="1"/>
  <c r="Z101" i="1"/>
  <c r="AA101" i="1"/>
  <c r="AB101" i="1"/>
  <c r="X102" i="1"/>
  <c r="Y102" i="1"/>
  <c r="Z102" i="1"/>
  <c r="AA102" i="1"/>
  <c r="AB102" i="1"/>
  <c r="X103" i="1"/>
  <c r="Y103" i="1"/>
  <c r="Z103" i="1"/>
  <c r="AA103" i="1"/>
  <c r="AB103" i="1"/>
  <c r="X104" i="1"/>
  <c r="Y104" i="1"/>
  <c r="Z104" i="1"/>
  <c r="AA104" i="1"/>
  <c r="AB104" i="1"/>
  <c r="X105" i="1"/>
  <c r="Y105" i="1"/>
  <c r="Z105" i="1"/>
  <c r="AA105" i="1"/>
  <c r="AB105" i="1"/>
  <c r="X106" i="1"/>
  <c r="Y106" i="1"/>
  <c r="Z106" i="1"/>
  <c r="AA106" i="1"/>
  <c r="AB106" i="1"/>
  <c r="X107" i="1"/>
  <c r="Y107" i="1"/>
  <c r="Z107" i="1"/>
  <c r="AA107" i="1"/>
  <c r="AB107" i="1"/>
  <c r="X108" i="1"/>
  <c r="Y108" i="1"/>
  <c r="Z108" i="1"/>
  <c r="AA108" i="1"/>
  <c r="AB108" i="1"/>
  <c r="X109" i="1"/>
  <c r="Y109" i="1"/>
  <c r="Z109" i="1"/>
  <c r="AA109" i="1"/>
  <c r="AB109" i="1"/>
  <c r="X110" i="1"/>
  <c r="Y110" i="1"/>
  <c r="Z110" i="1"/>
  <c r="AA110" i="1"/>
  <c r="AB110" i="1"/>
  <c r="X111" i="1"/>
  <c r="Y111" i="1"/>
  <c r="Z111" i="1"/>
  <c r="AA111" i="1"/>
  <c r="AB111" i="1"/>
  <c r="X112" i="1"/>
  <c r="Y112" i="1"/>
  <c r="Z112" i="1"/>
  <c r="AA112" i="1"/>
  <c r="AB112" i="1"/>
  <c r="X113" i="1"/>
  <c r="Y113" i="1"/>
  <c r="Z113" i="1"/>
  <c r="AA113" i="1"/>
  <c r="AB113" i="1"/>
  <c r="X114" i="1"/>
  <c r="Y114" i="1"/>
  <c r="Z114" i="1"/>
  <c r="AA114" i="1"/>
  <c r="AB114" i="1"/>
  <c r="X115" i="1"/>
  <c r="Y115" i="1"/>
  <c r="Z115" i="1"/>
  <c r="AA115" i="1"/>
  <c r="AB115" i="1"/>
  <c r="X116" i="1"/>
  <c r="Y116" i="1"/>
  <c r="Z116" i="1"/>
  <c r="AA116" i="1"/>
  <c r="AB116" i="1"/>
  <c r="X117" i="1"/>
  <c r="Y117" i="1"/>
  <c r="Z117" i="1"/>
  <c r="AA117" i="1"/>
  <c r="AB117" i="1"/>
  <c r="X118" i="1"/>
  <c r="Y118" i="1"/>
  <c r="Z118" i="1"/>
  <c r="AA118" i="1"/>
  <c r="AB118" i="1"/>
  <c r="X119" i="1"/>
  <c r="Y119" i="1"/>
  <c r="Z119" i="1"/>
  <c r="AA119" i="1"/>
  <c r="AB119" i="1"/>
  <c r="X120" i="1"/>
  <c r="Y120" i="1"/>
  <c r="Z120" i="1"/>
  <c r="AA120" i="1"/>
  <c r="AB120" i="1"/>
  <c r="X121" i="1"/>
  <c r="Y121" i="1"/>
  <c r="Z121" i="1"/>
  <c r="AA121" i="1"/>
  <c r="AB121" i="1"/>
  <c r="X122" i="1"/>
  <c r="Y122" i="1"/>
  <c r="Z122" i="1"/>
  <c r="AA122" i="1"/>
  <c r="AB122" i="1"/>
  <c r="X123" i="1"/>
  <c r="Y123" i="1"/>
  <c r="Z123" i="1"/>
  <c r="AA123" i="1"/>
  <c r="AB123" i="1"/>
  <c r="X124" i="1"/>
  <c r="Y124" i="1"/>
  <c r="Z124" i="1"/>
  <c r="AA124" i="1"/>
  <c r="AB124" i="1"/>
  <c r="X125" i="1"/>
  <c r="Y125" i="1"/>
  <c r="Z125" i="1"/>
  <c r="AA125" i="1"/>
  <c r="AB125" i="1"/>
  <c r="X126" i="1"/>
  <c r="Y126" i="1"/>
  <c r="Z126" i="1"/>
  <c r="AA126" i="1"/>
  <c r="AB126" i="1"/>
  <c r="X127" i="1"/>
  <c r="Y127" i="1"/>
  <c r="Z127" i="1"/>
  <c r="AA127" i="1"/>
  <c r="AB127" i="1"/>
  <c r="X128" i="1"/>
  <c r="Y128" i="1"/>
  <c r="Z128" i="1"/>
  <c r="AA128" i="1"/>
  <c r="AB128" i="1"/>
  <c r="X129" i="1"/>
  <c r="Y129" i="1"/>
  <c r="Z129" i="1"/>
  <c r="AA129" i="1"/>
  <c r="AB129" i="1"/>
  <c r="X130" i="1"/>
  <c r="Y130" i="1"/>
  <c r="Z130" i="1"/>
  <c r="AA130" i="1"/>
  <c r="AB130" i="1"/>
  <c r="X131" i="1"/>
  <c r="Y131" i="1"/>
  <c r="Z131" i="1"/>
  <c r="AA131" i="1"/>
  <c r="AB131" i="1"/>
  <c r="X132" i="1"/>
  <c r="Y132" i="1"/>
  <c r="Z132" i="1"/>
  <c r="AA132" i="1"/>
  <c r="AB132" i="1"/>
  <c r="X133" i="1"/>
  <c r="Y133" i="1"/>
  <c r="Z133" i="1"/>
  <c r="AA133" i="1"/>
  <c r="AB133" i="1"/>
  <c r="X134" i="1"/>
  <c r="Y134" i="1"/>
  <c r="Z134" i="1"/>
  <c r="AA134" i="1"/>
  <c r="AB134" i="1"/>
  <c r="X135" i="1"/>
  <c r="Y135" i="1"/>
  <c r="Z135" i="1"/>
  <c r="AA135" i="1"/>
  <c r="AB135" i="1"/>
  <c r="X136" i="1"/>
  <c r="Y136" i="1"/>
  <c r="Z136" i="1"/>
  <c r="AA136" i="1"/>
  <c r="AB136" i="1"/>
  <c r="X137" i="1"/>
  <c r="Y137" i="1"/>
  <c r="Z137" i="1"/>
  <c r="AA137" i="1"/>
  <c r="AB137" i="1"/>
  <c r="X138" i="1"/>
  <c r="Y138" i="1"/>
  <c r="Z138" i="1"/>
  <c r="AA138" i="1"/>
  <c r="AB138" i="1"/>
  <c r="X139" i="1"/>
  <c r="Y139" i="1"/>
  <c r="Z139" i="1"/>
  <c r="AA139" i="1"/>
  <c r="AB139" i="1"/>
  <c r="X140" i="1"/>
  <c r="Y140" i="1"/>
  <c r="Z140" i="1"/>
  <c r="AA140" i="1"/>
  <c r="AB140" i="1"/>
  <c r="X141" i="1"/>
  <c r="Y141" i="1"/>
  <c r="Z141" i="1"/>
  <c r="AA141" i="1"/>
  <c r="AB141" i="1"/>
  <c r="X142" i="1"/>
  <c r="Y142" i="1"/>
  <c r="Z142" i="1"/>
  <c r="AA142" i="1"/>
  <c r="AB142" i="1"/>
  <c r="X143" i="1"/>
  <c r="Y143" i="1"/>
  <c r="Z143" i="1"/>
  <c r="AA143" i="1"/>
  <c r="AB143" i="1"/>
  <c r="X144" i="1"/>
  <c r="Y144" i="1"/>
  <c r="Z144" i="1"/>
  <c r="AA144" i="1"/>
  <c r="AB144" i="1"/>
  <c r="X145" i="1"/>
  <c r="Y145" i="1"/>
  <c r="Z145" i="1"/>
  <c r="AA145" i="1"/>
  <c r="AB145" i="1"/>
  <c r="X146" i="1"/>
  <c r="Y146" i="1"/>
  <c r="Z146" i="1"/>
  <c r="AA146" i="1"/>
  <c r="AB146" i="1"/>
  <c r="X147" i="1"/>
  <c r="Y147" i="1"/>
  <c r="Z147" i="1"/>
  <c r="AA147" i="1"/>
  <c r="AB147" i="1"/>
  <c r="X148" i="1"/>
  <c r="Y148" i="1"/>
  <c r="Z148" i="1"/>
  <c r="AA148" i="1"/>
  <c r="AB148" i="1"/>
  <c r="X149" i="1"/>
  <c r="Y149" i="1"/>
  <c r="Z149" i="1"/>
  <c r="AA149" i="1"/>
  <c r="AB149" i="1"/>
  <c r="X150" i="1"/>
  <c r="Y150" i="1"/>
  <c r="Z150" i="1"/>
  <c r="AA150" i="1"/>
  <c r="AB150" i="1"/>
  <c r="X151" i="1"/>
  <c r="Y151" i="1"/>
  <c r="Z151" i="1"/>
  <c r="AA151" i="1"/>
  <c r="AB151" i="1"/>
  <c r="X152" i="1"/>
  <c r="Y152" i="1"/>
  <c r="Z152" i="1"/>
  <c r="AA152" i="1"/>
  <c r="AB152" i="1"/>
  <c r="X153" i="1"/>
  <c r="Y153" i="1"/>
  <c r="Z153" i="1"/>
  <c r="AA153" i="1"/>
  <c r="AB153" i="1"/>
  <c r="X154" i="1"/>
  <c r="Y154" i="1"/>
  <c r="Z154" i="1"/>
  <c r="AA154" i="1"/>
  <c r="AB154" i="1"/>
  <c r="X155" i="1"/>
  <c r="Y155" i="1"/>
  <c r="Z155" i="1"/>
  <c r="AA155" i="1"/>
  <c r="AB155" i="1"/>
  <c r="X156" i="1"/>
  <c r="Y156" i="1"/>
  <c r="Z156" i="1"/>
  <c r="AA156" i="1"/>
  <c r="AB156" i="1"/>
  <c r="X157" i="1"/>
  <c r="Y157" i="1"/>
  <c r="Z157" i="1"/>
  <c r="AA157" i="1"/>
  <c r="AB157" i="1"/>
  <c r="X158" i="1"/>
  <c r="Y158" i="1"/>
  <c r="Z158" i="1"/>
  <c r="AA158" i="1"/>
  <c r="AB158" i="1"/>
  <c r="X159" i="1"/>
  <c r="Y159" i="1"/>
  <c r="Z159" i="1"/>
  <c r="AA159" i="1"/>
  <c r="AB159" i="1"/>
  <c r="X160" i="1"/>
  <c r="Y160" i="1"/>
  <c r="Z160" i="1"/>
  <c r="AA160" i="1"/>
  <c r="AB160" i="1"/>
  <c r="X161" i="1"/>
  <c r="Y161" i="1"/>
  <c r="Z161" i="1"/>
  <c r="AA161" i="1"/>
  <c r="AB161" i="1"/>
  <c r="X162" i="1"/>
  <c r="Y162" i="1"/>
  <c r="Z162" i="1"/>
  <c r="AA162" i="1"/>
  <c r="AB162" i="1"/>
  <c r="X163" i="1"/>
  <c r="Y163" i="1"/>
  <c r="Z163" i="1"/>
  <c r="AA163" i="1"/>
  <c r="AB163" i="1"/>
  <c r="X164" i="1"/>
  <c r="Y164" i="1"/>
  <c r="Z164" i="1"/>
  <c r="AA164" i="1"/>
  <c r="AB164" i="1"/>
  <c r="X165" i="1"/>
  <c r="Y165" i="1"/>
  <c r="Z165" i="1"/>
  <c r="AA165" i="1"/>
  <c r="AB165" i="1"/>
  <c r="X166" i="1"/>
  <c r="Y166" i="1"/>
  <c r="Z166" i="1"/>
  <c r="AA166" i="1"/>
  <c r="AB166" i="1"/>
  <c r="X167" i="1"/>
  <c r="Y167" i="1"/>
  <c r="Z167" i="1"/>
  <c r="AA167" i="1"/>
  <c r="AB167" i="1"/>
  <c r="X168" i="1"/>
  <c r="Y168" i="1"/>
  <c r="Z168" i="1"/>
  <c r="AA168" i="1"/>
  <c r="AB168" i="1"/>
  <c r="X169" i="1"/>
  <c r="Y169" i="1"/>
  <c r="Z169" i="1"/>
  <c r="AA169" i="1"/>
  <c r="AB169" i="1"/>
  <c r="X170" i="1"/>
  <c r="Y170" i="1"/>
  <c r="Z170" i="1"/>
  <c r="AA170" i="1"/>
  <c r="AB170" i="1"/>
  <c r="X171" i="1"/>
  <c r="Y171" i="1"/>
  <c r="Z171" i="1"/>
  <c r="AA171" i="1"/>
  <c r="AB171" i="1"/>
  <c r="X172" i="1"/>
  <c r="Y172" i="1"/>
  <c r="Z172" i="1"/>
  <c r="AA172" i="1"/>
  <c r="AB172" i="1"/>
  <c r="X173" i="1"/>
  <c r="Y173" i="1"/>
  <c r="Z173" i="1"/>
  <c r="AA173" i="1"/>
  <c r="AB173" i="1"/>
  <c r="X174" i="1"/>
  <c r="Y174" i="1"/>
  <c r="Z174" i="1"/>
  <c r="AA174" i="1"/>
  <c r="AB174" i="1"/>
  <c r="X175" i="1"/>
  <c r="Y175" i="1"/>
  <c r="Z175" i="1"/>
  <c r="AA175" i="1"/>
  <c r="AB175" i="1"/>
  <c r="X176" i="1"/>
  <c r="Y176" i="1"/>
  <c r="Z176" i="1"/>
  <c r="AA176" i="1"/>
  <c r="AB176" i="1"/>
  <c r="X177" i="1"/>
  <c r="Y177" i="1"/>
  <c r="Z177" i="1"/>
  <c r="AA177" i="1"/>
  <c r="AB177" i="1"/>
  <c r="X178" i="1"/>
  <c r="Y178" i="1"/>
  <c r="Z178" i="1"/>
  <c r="AA178" i="1"/>
  <c r="AB178" i="1"/>
  <c r="X179" i="1"/>
  <c r="Y179" i="1"/>
  <c r="Z179" i="1"/>
  <c r="AA179" i="1"/>
  <c r="AB179" i="1"/>
  <c r="X180" i="1"/>
  <c r="Y180" i="1"/>
  <c r="Z180" i="1"/>
  <c r="AA180" i="1"/>
  <c r="AB180" i="1"/>
  <c r="X181" i="1"/>
  <c r="Y181" i="1"/>
  <c r="Z181" i="1"/>
  <c r="AA181" i="1"/>
  <c r="AB181" i="1"/>
  <c r="X182" i="1"/>
  <c r="Y182" i="1"/>
  <c r="Z182" i="1"/>
  <c r="AA182" i="1"/>
  <c r="AB182" i="1"/>
  <c r="X183" i="1"/>
  <c r="Y183" i="1"/>
  <c r="Z183" i="1"/>
  <c r="AA183" i="1"/>
  <c r="AB183" i="1"/>
  <c r="X184" i="1"/>
  <c r="Y184" i="1"/>
  <c r="Z184" i="1"/>
  <c r="AA184" i="1"/>
  <c r="AB184" i="1"/>
  <c r="X185" i="1"/>
  <c r="Y185" i="1"/>
  <c r="Z185" i="1"/>
  <c r="AA185" i="1"/>
  <c r="AB185" i="1"/>
  <c r="X186" i="1"/>
  <c r="Y186" i="1"/>
  <c r="Z186" i="1"/>
  <c r="AA186" i="1"/>
  <c r="AB186" i="1"/>
  <c r="X187" i="1"/>
  <c r="Y187" i="1"/>
  <c r="Z187" i="1"/>
  <c r="AA187" i="1"/>
  <c r="AB187" i="1"/>
  <c r="X188" i="1"/>
  <c r="Y188" i="1"/>
  <c r="Z188" i="1"/>
  <c r="AA188" i="1"/>
  <c r="AB188" i="1"/>
  <c r="X189" i="1"/>
  <c r="Y189" i="1"/>
  <c r="Z189" i="1"/>
  <c r="AA189" i="1"/>
  <c r="AB189" i="1"/>
  <c r="X190" i="1"/>
  <c r="Y190" i="1"/>
  <c r="Z190" i="1"/>
  <c r="AA190" i="1"/>
  <c r="AB190" i="1"/>
  <c r="X191" i="1"/>
  <c r="Y191" i="1"/>
  <c r="Z191" i="1"/>
  <c r="AA191" i="1"/>
  <c r="AB191" i="1"/>
  <c r="X192" i="1"/>
  <c r="Y192" i="1"/>
  <c r="Z192" i="1"/>
  <c r="AA192" i="1"/>
  <c r="AB192" i="1"/>
  <c r="X193" i="1"/>
  <c r="Y193" i="1"/>
  <c r="Z193" i="1"/>
  <c r="AA193" i="1"/>
  <c r="AB193" i="1"/>
  <c r="X194" i="1"/>
  <c r="Y194" i="1"/>
  <c r="Z194" i="1"/>
  <c r="AA194" i="1"/>
  <c r="AB194" i="1"/>
  <c r="X195" i="1"/>
  <c r="Y195" i="1"/>
  <c r="Z195" i="1"/>
  <c r="AA195" i="1"/>
  <c r="AB195" i="1"/>
  <c r="X196" i="1"/>
  <c r="Y196" i="1"/>
  <c r="Z196" i="1"/>
  <c r="AA196" i="1"/>
  <c r="AB196" i="1"/>
  <c r="X197" i="1"/>
  <c r="Y197" i="1"/>
  <c r="Z197" i="1"/>
  <c r="AA197" i="1"/>
  <c r="AB197" i="1"/>
  <c r="X198" i="1"/>
  <c r="Y198" i="1"/>
  <c r="Z198" i="1"/>
  <c r="AA198" i="1"/>
  <c r="AB198" i="1"/>
  <c r="AB2" i="1"/>
  <c r="AA2" i="1"/>
  <c r="Z2" i="1"/>
  <c r="Y2" i="1"/>
  <c r="X2" i="1"/>
</calcChain>
</file>

<file path=xl/sharedStrings.xml><?xml version="1.0" encoding="utf-8"?>
<sst xmlns="http://schemas.openxmlformats.org/spreadsheetml/2006/main" count="1730" uniqueCount="34">
  <si>
    <t>C</t>
  </si>
  <si>
    <t>N</t>
  </si>
  <si>
    <t>NP</t>
  </si>
  <si>
    <t>P</t>
  </si>
  <si>
    <t>Date</t>
  </si>
  <si>
    <t>Treatment</t>
  </si>
  <si>
    <t>Replicate</t>
  </si>
  <si>
    <t>n.c.ratio</t>
  </si>
  <si>
    <t>np.c.ratio</t>
  </si>
  <si>
    <t>p.c.ratio</t>
  </si>
  <si>
    <t>DOY</t>
  </si>
  <si>
    <t>Group</t>
  </si>
  <si>
    <t>Site</t>
  </si>
  <si>
    <t>F</t>
  </si>
  <si>
    <t>R</t>
  </si>
  <si>
    <t>CHLA.C</t>
  </si>
  <si>
    <t>CHLA.N</t>
  </si>
  <si>
    <t>CHLA.NP</t>
  </si>
  <si>
    <t>CHLA.P</t>
  </si>
  <si>
    <t>F1</t>
  </si>
  <si>
    <t>F2</t>
  </si>
  <si>
    <t>F3</t>
  </si>
  <si>
    <t>R1</t>
  </si>
  <si>
    <t>R2</t>
  </si>
  <si>
    <t>R3</t>
  </si>
  <si>
    <t>CHLA.C.mean</t>
  </si>
  <si>
    <t>n.c.ratio.mean</t>
  </si>
  <si>
    <t>np.c.ratio.mean</t>
  </si>
  <si>
    <t>p.c.ratio.mean</t>
  </si>
  <si>
    <t>Minimum</t>
  </si>
  <si>
    <t>Median</t>
  </si>
  <si>
    <t>Maximum</t>
  </si>
  <si>
    <t>25th percentile</t>
  </si>
  <si>
    <t>75th percentile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</si>
</sst>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99"/>
  <sheetViews>
    <sheetView tabSelected="1" topLeftCell="I61" workbookViewId="0">
      <selection activeCell="X72" sqref="X72:AB72"/>
    </sheetView>
  </sheetViews>
  <sheetFormatPr defaultRowHeight="14.4" x14ac:dyDescent="0.3"/>
  <cols>
    <col min="1" max="4" width="10.44140625" customWidth="1"/>
    <col min="5" max="5" width="9.44140625" customWidth="1"/>
    <col min="6" max="6" width="10.33203125" customWidth="1"/>
    <col min="7" max="7" width="9.109375" customWidth="1"/>
    <col min="8" max="8" width="11.44140625" customWidth="1"/>
    <col min="21" max="21" width="14.21875" customWidth="1"/>
    <col min="24" max="24" width="10.44140625" customWidth="1"/>
    <col min="26" max="26" width="10.6640625" customWidth="1"/>
    <col min="27" max="27" width="12.88671875" customWidth="1"/>
    <col min="28" max="28" width="13.88671875" customWidth="1"/>
  </cols>
  <sheetData>
    <row r="1" spans="1:28" x14ac:dyDescent="0.3">
      <c r="A1" t="s">
        <v>11</v>
      </c>
      <c r="B1" t="s">
        <v>12</v>
      </c>
      <c r="C1" t="s">
        <v>4</v>
      </c>
      <c r="D1" t="s">
        <v>10</v>
      </c>
      <c r="E1" t="s">
        <v>5</v>
      </c>
      <c r="F1" t="s">
        <v>6</v>
      </c>
      <c r="G1" t="s">
        <v>15</v>
      </c>
      <c r="H1" t="s">
        <v>5</v>
      </c>
      <c r="I1" t="s">
        <v>6</v>
      </c>
      <c r="J1" t="s">
        <v>16</v>
      </c>
      <c r="K1" t="s">
        <v>7</v>
      </c>
      <c r="L1" t="s">
        <v>5</v>
      </c>
      <c r="M1" t="s">
        <v>6</v>
      </c>
      <c r="N1" t="s">
        <v>17</v>
      </c>
      <c r="O1" t="s">
        <v>8</v>
      </c>
      <c r="P1" t="s">
        <v>5</v>
      </c>
      <c r="Q1" t="s">
        <v>6</v>
      </c>
      <c r="R1" t="s">
        <v>18</v>
      </c>
      <c r="S1" t="s">
        <v>9</v>
      </c>
      <c r="U1" t="s">
        <v>5</v>
      </c>
      <c r="V1" t="s">
        <v>12</v>
      </c>
      <c r="W1" t="s">
        <v>10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</row>
    <row r="2" spans="1:28" x14ac:dyDescent="0.3">
      <c r="A2" s="1" t="s">
        <v>13</v>
      </c>
      <c r="B2" s="1" t="s">
        <v>19</v>
      </c>
      <c r="C2" s="1">
        <v>44348</v>
      </c>
      <c r="D2">
        <v>152</v>
      </c>
      <c r="E2" t="s">
        <v>0</v>
      </c>
      <c r="F2">
        <v>1</v>
      </c>
      <c r="G2">
        <v>42.949387212121216</v>
      </c>
      <c r="H2" t="s">
        <v>1</v>
      </c>
      <c r="I2">
        <v>1</v>
      </c>
      <c r="J2">
        <v>61.215261142857159</v>
      </c>
      <c r="K2">
        <v>1.42528834789943</v>
      </c>
      <c r="L2" t="s">
        <v>2</v>
      </c>
      <c r="M2">
        <v>1</v>
      </c>
      <c r="N2">
        <v>63.146357839999993</v>
      </c>
      <c r="O2">
        <v>1.4702504957318405</v>
      </c>
      <c r="P2" t="s">
        <v>3</v>
      </c>
      <c r="Q2">
        <v>1</v>
      </c>
      <c r="R2">
        <v>39.908168666666668</v>
      </c>
      <c r="S2">
        <v>0.92919064175620525</v>
      </c>
      <c r="U2" t="s">
        <v>3</v>
      </c>
      <c r="V2" t="s">
        <v>19</v>
      </c>
      <c r="W2">
        <v>152</v>
      </c>
      <c r="X2">
        <f>MIN(S2:S4)</f>
        <v>0.55854525325983817</v>
      </c>
      <c r="Y2">
        <f>MEDIAN(S2:S4)</f>
        <v>0.74532873475568684</v>
      </c>
      <c r="Z2">
        <f>MAX(S2:S4)</f>
        <v>0.92919064175620525</v>
      </c>
      <c r="AA2">
        <f>_xlfn.PERCENTILE.INC(S2:S4,0.25)</f>
        <v>0.6519369940077625</v>
      </c>
      <c r="AB2">
        <f>_xlfn.PERCENTILE.INC(S2:S4,0.75)</f>
        <v>0.83725968825594599</v>
      </c>
    </row>
    <row r="3" spans="1:28" x14ac:dyDescent="0.3">
      <c r="A3" s="1" t="s">
        <v>13</v>
      </c>
      <c r="B3" s="1" t="s">
        <v>19</v>
      </c>
      <c r="C3" s="1">
        <v>44348</v>
      </c>
      <c r="D3">
        <v>152</v>
      </c>
      <c r="E3" t="s">
        <v>0</v>
      </c>
      <c r="F3">
        <v>2</v>
      </c>
      <c r="G3">
        <v>42.214913529411746</v>
      </c>
      <c r="H3" t="s">
        <v>1</v>
      </c>
      <c r="I3">
        <v>2</v>
      </c>
      <c r="J3">
        <v>33.554135999999993</v>
      </c>
      <c r="K3">
        <v>0.79484080848874261</v>
      </c>
      <c r="L3" t="s">
        <v>2</v>
      </c>
      <c r="M3">
        <v>2</v>
      </c>
      <c r="N3">
        <v>40.717877440000009</v>
      </c>
      <c r="O3">
        <v>0.96453774355433108</v>
      </c>
      <c r="P3" t="s">
        <v>3</v>
      </c>
      <c r="Q3">
        <v>2</v>
      </c>
      <c r="R3">
        <v>23.578939568627451</v>
      </c>
      <c r="S3">
        <v>0.55854525325983817</v>
      </c>
      <c r="U3" t="s">
        <v>3</v>
      </c>
      <c r="V3" t="s">
        <v>19</v>
      </c>
      <c r="W3">
        <v>152</v>
      </c>
      <c r="X3">
        <f t="shared" ref="X3:X66" si="0">MIN(S3:S5)</f>
        <v>0.55854525325983817</v>
      </c>
      <c r="Y3">
        <f t="shared" ref="Y3:Y66" si="1">MEDIAN(S3:S5)</f>
        <v>0.74532873475568684</v>
      </c>
      <c r="Z3">
        <f t="shared" ref="Z3:Z66" si="2">MAX(S3:S5)</f>
        <v>1.3652004248749623</v>
      </c>
      <c r="AA3">
        <f t="shared" ref="AA3:AA66" si="3">_xlfn.PERCENTILE.INC(S3:S5,0.25)</f>
        <v>0.6519369940077625</v>
      </c>
      <c r="AB3">
        <f t="shared" ref="AB3:AB66" si="4">_xlfn.PERCENTILE.INC(S3:S5,0.75)</f>
        <v>1.0552645798153246</v>
      </c>
    </row>
    <row r="4" spans="1:28" x14ac:dyDescent="0.3">
      <c r="A4" s="1" t="s">
        <v>13</v>
      </c>
      <c r="B4" s="1" t="s">
        <v>19</v>
      </c>
      <c r="C4" s="1">
        <v>44348</v>
      </c>
      <c r="D4">
        <v>152</v>
      </c>
      <c r="E4" t="s">
        <v>0</v>
      </c>
      <c r="F4">
        <v>3</v>
      </c>
      <c r="G4">
        <v>20.991276666666668</v>
      </c>
      <c r="H4" t="s">
        <v>1</v>
      </c>
      <c r="I4">
        <v>3</v>
      </c>
      <c r="J4">
        <v>23.119856956521737</v>
      </c>
      <c r="K4">
        <v>1.1014030887047082</v>
      </c>
      <c r="L4" t="s">
        <v>2</v>
      </c>
      <c r="M4">
        <v>3</v>
      </c>
      <c r="N4">
        <v>28.131993257142852</v>
      </c>
      <c r="O4">
        <v>1.3401754311501866</v>
      </c>
      <c r="P4" t="s">
        <v>3</v>
      </c>
      <c r="Q4">
        <v>3</v>
      </c>
      <c r="R4">
        <v>15.64540167887324</v>
      </c>
      <c r="S4">
        <v>0.74532873475568684</v>
      </c>
      <c r="U4" t="s">
        <v>3</v>
      </c>
      <c r="V4" t="s">
        <v>19</v>
      </c>
      <c r="W4">
        <v>152</v>
      </c>
      <c r="X4">
        <f t="shared" si="0"/>
        <v>0.74532873475568684</v>
      </c>
      <c r="Y4">
        <f t="shared" si="1"/>
        <v>1.1474715950371515</v>
      </c>
      <c r="Z4">
        <f t="shared" si="2"/>
        <v>1.3652004248749623</v>
      </c>
      <c r="AA4">
        <f t="shared" si="3"/>
        <v>0.94640016489641909</v>
      </c>
      <c r="AB4">
        <f t="shared" si="4"/>
        <v>1.256336009956057</v>
      </c>
    </row>
    <row r="5" spans="1:28" x14ac:dyDescent="0.3">
      <c r="A5" s="1" t="s">
        <v>14</v>
      </c>
      <c r="B5" s="1" t="s">
        <v>22</v>
      </c>
      <c r="C5" s="1">
        <v>44348</v>
      </c>
      <c r="D5">
        <v>152</v>
      </c>
      <c r="E5" t="s">
        <v>0</v>
      </c>
      <c r="F5">
        <v>1</v>
      </c>
      <c r="G5">
        <v>61.874694300000002</v>
      </c>
      <c r="H5" t="s">
        <v>1</v>
      </c>
      <c r="I5">
        <v>1</v>
      </c>
      <c r="J5">
        <v>183.21450154999999</v>
      </c>
      <c r="K5">
        <v>2.9610570787094779</v>
      </c>
      <c r="L5" t="s">
        <v>2</v>
      </c>
      <c r="M5">
        <v>1</v>
      </c>
      <c r="N5">
        <v>198.64956100000001</v>
      </c>
      <c r="O5">
        <v>3.2105138174395798</v>
      </c>
      <c r="P5" t="s">
        <v>3</v>
      </c>
      <c r="Q5">
        <v>1</v>
      </c>
      <c r="R5">
        <v>84.471358947368415</v>
      </c>
      <c r="S5">
        <v>1.3652004248749623</v>
      </c>
      <c r="U5" t="s">
        <v>3</v>
      </c>
      <c r="V5" t="s">
        <v>22</v>
      </c>
      <c r="W5">
        <v>152</v>
      </c>
      <c r="X5">
        <f t="shared" si="0"/>
        <v>0.8794400174732</v>
      </c>
      <c r="Y5">
        <f t="shared" si="1"/>
        <v>1.1474715950371515</v>
      </c>
      <c r="Z5">
        <f t="shared" si="2"/>
        <v>1.3652004248749623</v>
      </c>
      <c r="AA5">
        <f t="shared" si="3"/>
        <v>1.0134558062551757</v>
      </c>
      <c r="AB5">
        <f t="shared" si="4"/>
        <v>1.256336009956057</v>
      </c>
    </row>
    <row r="6" spans="1:28" x14ac:dyDescent="0.3">
      <c r="A6" s="1" t="s">
        <v>14</v>
      </c>
      <c r="B6" s="1" t="s">
        <v>22</v>
      </c>
      <c r="C6" s="1">
        <v>44348</v>
      </c>
      <c r="D6">
        <v>152</v>
      </c>
      <c r="E6" t="s">
        <v>0</v>
      </c>
      <c r="F6">
        <v>2</v>
      </c>
      <c r="G6">
        <v>62.363101297297298</v>
      </c>
      <c r="H6" t="s">
        <v>1</v>
      </c>
      <c r="I6">
        <v>2</v>
      </c>
      <c r="J6">
        <v>183.14925721052632</v>
      </c>
      <c r="K6">
        <v>2.9368208668362628</v>
      </c>
      <c r="L6" t="s">
        <v>2</v>
      </c>
      <c r="M6">
        <v>2</v>
      </c>
      <c r="N6">
        <v>194.14950369230769</v>
      </c>
      <c r="O6">
        <v>3.1132111722083611</v>
      </c>
      <c r="P6" t="s">
        <v>3</v>
      </c>
      <c r="Q6">
        <v>2</v>
      </c>
      <c r="R6">
        <v>71.559887317073176</v>
      </c>
      <c r="S6">
        <v>1.1474715950371515</v>
      </c>
      <c r="U6" t="s">
        <v>3</v>
      </c>
      <c r="V6" t="s">
        <v>22</v>
      </c>
      <c r="W6">
        <v>152</v>
      </c>
      <c r="X6">
        <f t="shared" si="0"/>
        <v>0.50851621567762761</v>
      </c>
      <c r="Y6">
        <f t="shared" si="1"/>
        <v>0.8794400174732</v>
      </c>
      <c r="Z6">
        <f t="shared" si="2"/>
        <v>1.1474715950371515</v>
      </c>
      <c r="AA6">
        <f t="shared" si="3"/>
        <v>0.69397811657541375</v>
      </c>
      <c r="AB6">
        <f t="shared" si="4"/>
        <v>1.0134558062551757</v>
      </c>
    </row>
    <row r="7" spans="1:28" x14ac:dyDescent="0.3">
      <c r="A7" s="1" t="s">
        <v>14</v>
      </c>
      <c r="B7" s="1" t="s">
        <v>22</v>
      </c>
      <c r="C7" s="1">
        <v>44348</v>
      </c>
      <c r="D7">
        <v>152</v>
      </c>
      <c r="E7" t="s">
        <v>0</v>
      </c>
      <c r="F7">
        <v>3</v>
      </c>
      <c r="G7">
        <v>80.532206395939085</v>
      </c>
      <c r="H7" t="s">
        <v>1</v>
      </c>
      <c r="I7">
        <v>3</v>
      </c>
      <c r="J7">
        <v>244.89561226315789</v>
      </c>
      <c r="K7">
        <v>3.0409648912277536</v>
      </c>
      <c r="L7" t="s">
        <v>2</v>
      </c>
      <c r="M7">
        <v>3</v>
      </c>
      <c r="N7">
        <v>214.95078253658539</v>
      </c>
      <c r="O7">
        <v>2.6691281930085613</v>
      </c>
      <c r="P7" t="s">
        <v>3</v>
      </c>
      <c r="Q7">
        <v>3</v>
      </c>
      <c r="R7">
        <v>70.823245000000014</v>
      </c>
      <c r="S7">
        <v>0.8794400174732</v>
      </c>
      <c r="U7" t="s">
        <v>3</v>
      </c>
      <c r="V7" t="s">
        <v>22</v>
      </c>
      <c r="W7">
        <v>152</v>
      </c>
      <c r="X7">
        <f t="shared" si="0"/>
        <v>0.4447451180912414</v>
      </c>
      <c r="Y7">
        <f t="shared" si="1"/>
        <v>0.50851621567762761</v>
      </c>
      <c r="Z7">
        <f t="shared" si="2"/>
        <v>0.8794400174732</v>
      </c>
      <c r="AA7">
        <f t="shared" si="3"/>
        <v>0.47663066688443451</v>
      </c>
      <c r="AB7">
        <f t="shared" si="4"/>
        <v>0.69397811657541375</v>
      </c>
    </row>
    <row r="8" spans="1:28" x14ac:dyDescent="0.3">
      <c r="A8" s="1" t="s">
        <v>13</v>
      </c>
      <c r="B8" s="1" t="s">
        <v>20</v>
      </c>
      <c r="C8" s="1">
        <v>44348</v>
      </c>
      <c r="D8">
        <v>152</v>
      </c>
      <c r="E8" t="s">
        <v>0</v>
      </c>
      <c r="F8">
        <v>1</v>
      </c>
      <c r="G8">
        <v>64.94390156</v>
      </c>
      <c r="L8" t="s">
        <v>2</v>
      </c>
      <c r="M8">
        <v>1</v>
      </c>
      <c r="N8">
        <v>77.466652117307689</v>
      </c>
      <c r="O8">
        <v>1.1928241183005959</v>
      </c>
      <c r="P8" t="s">
        <v>3</v>
      </c>
      <c r="Q8">
        <v>1</v>
      </c>
      <c r="R8">
        <v>33.025027052631579</v>
      </c>
      <c r="S8">
        <v>0.50851621567762761</v>
      </c>
      <c r="U8" t="s">
        <v>3</v>
      </c>
      <c r="V8" t="s">
        <v>20</v>
      </c>
      <c r="W8">
        <v>152</v>
      </c>
      <c r="X8">
        <f t="shared" si="0"/>
        <v>0.4447451180912414</v>
      </c>
      <c r="Y8">
        <f t="shared" si="1"/>
        <v>0.50851621567762761</v>
      </c>
      <c r="Z8">
        <f t="shared" si="2"/>
        <v>0.60991753303578489</v>
      </c>
      <c r="AA8">
        <f t="shared" si="3"/>
        <v>0.47663066688443451</v>
      </c>
      <c r="AB8">
        <f t="shared" si="4"/>
        <v>0.55921687435670631</v>
      </c>
    </row>
    <row r="9" spans="1:28" x14ac:dyDescent="0.3">
      <c r="A9" s="1" t="s">
        <v>13</v>
      </c>
      <c r="B9" s="1" t="s">
        <v>20</v>
      </c>
      <c r="C9" s="1">
        <v>44348</v>
      </c>
      <c r="D9">
        <v>152</v>
      </c>
      <c r="E9" t="s">
        <v>0</v>
      </c>
      <c r="F9">
        <v>2</v>
      </c>
      <c r="G9">
        <v>71.290877887179477</v>
      </c>
      <c r="H9" t="s">
        <v>1</v>
      </c>
      <c r="I9">
        <v>2</v>
      </c>
      <c r="J9">
        <v>85.812138200000007</v>
      </c>
      <c r="K9">
        <v>1.2036903001222818</v>
      </c>
      <c r="L9" t="s">
        <v>2</v>
      </c>
      <c r="M9">
        <v>2</v>
      </c>
      <c r="N9">
        <v>103.21136164285711</v>
      </c>
      <c r="O9">
        <v>1.4477499043593349</v>
      </c>
      <c r="P9" t="s">
        <v>3</v>
      </c>
      <c r="Q9">
        <v>2</v>
      </c>
      <c r="R9">
        <v>31.706269904761907</v>
      </c>
      <c r="S9">
        <v>0.4447451180912414</v>
      </c>
      <c r="U9" t="s">
        <v>3</v>
      </c>
      <c r="V9" t="s">
        <v>20</v>
      </c>
      <c r="W9">
        <v>152</v>
      </c>
      <c r="X9">
        <f t="shared" si="0"/>
        <v>0.28399008816627208</v>
      </c>
      <c r="Y9">
        <f t="shared" si="1"/>
        <v>0.4447451180912414</v>
      </c>
      <c r="Z9">
        <f t="shared" si="2"/>
        <v>0.60991753303578489</v>
      </c>
      <c r="AA9">
        <f t="shared" si="3"/>
        <v>0.36436760312875671</v>
      </c>
      <c r="AB9">
        <f t="shared" si="4"/>
        <v>0.52733132556351314</v>
      </c>
    </row>
    <row r="10" spans="1:28" x14ac:dyDescent="0.3">
      <c r="A10" s="1" t="s">
        <v>13</v>
      </c>
      <c r="B10" s="1" t="s">
        <v>20</v>
      </c>
      <c r="C10" s="1">
        <v>44348</v>
      </c>
      <c r="D10">
        <v>152</v>
      </c>
      <c r="E10" t="s">
        <v>0</v>
      </c>
      <c r="F10">
        <v>3</v>
      </c>
      <c r="G10">
        <v>49.605206256410256</v>
      </c>
      <c r="H10" t="s">
        <v>1</v>
      </c>
      <c r="I10">
        <v>3</v>
      </c>
      <c r="J10">
        <v>90.719167090909082</v>
      </c>
      <c r="K10">
        <v>1.828823503363336</v>
      </c>
      <c r="L10" t="s">
        <v>2</v>
      </c>
      <c r="M10">
        <v>3</v>
      </c>
      <c r="N10">
        <v>87.045482559999982</v>
      </c>
      <c r="O10">
        <v>1.7547650565156452</v>
      </c>
      <c r="P10" t="s">
        <v>3</v>
      </c>
      <c r="Q10">
        <v>3</v>
      </c>
      <c r="R10">
        <v>30.255085025641026</v>
      </c>
      <c r="S10">
        <v>0.60991753303578489</v>
      </c>
      <c r="U10" t="s">
        <v>3</v>
      </c>
      <c r="V10" t="s">
        <v>20</v>
      </c>
      <c r="W10">
        <v>152</v>
      </c>
      <c r="X10">
        <f t="shared" si="0"/>
        <v>0.28399008816627208</v>
      </c>
      <c r="Y10">
        <f t="shared" si="1"/>
        <v>0.37544949745695477</v>
      </c>
      <c r="Z10">
        <f t="shared" si="2"/>
        <v>0.60991753303578489</v>
      </c>
      <c r="AA10">
        <f t="shared" si="3"/>
        <v>0.32971979281161345</v>
      </c>
      <c r="AB10">
        <f t="shared" si="4"/>
        <v>0.49268351524636983</v>
      </c>
    </row>
    <row r="11" spans="1:28" x14ac:dyDescent="0.3">
      <c r="A11" s="1" t="s">
        <v>14</v>
      </c>
      <c r="B11" s="1" t="s">
        <v>23</v>
      </c>
      <c r="C11" s="1">
        <v>44348</v>
      </c>
      <c r="D11">
        <v>152</v>
      </c>
      <c r="E11" t="s">
        <v>0</v>
      </c>
      <c r="F11">
        <v>1</v>
      </c>
      <c r="G11">
        <v>65.574475136986308</v>
      </c>
      <c r="H11" t="s">
        <v>1</v>
      </c>
      <c r="I11">
        <v>1</v>
      </c>
      <c r="J11">
        <v>82.360004545454544</v>
      </c>
      <c r="K11">
        <v>1.255976572796091</v>
      </c>
      <c r="L11" t="s">
        <v>2</v>
      </c>
      <c r="M11">
        <v>1</v>
      </c>
      <c r="N11">
        <v>139.63038048285713</v>
      </c>
      <c r="O11">
        <v>2.1293404208141453</v>
      </c>
      <c r="P11" t="s">
        <v>3</v>
      </c>
      <c r="Q11">
        <v>1</v>
      </c>
      <c r="R11">
        <v>18.622500975609757</v>
      </c>
      <c r="S11">
        <v>0.28399008816627208</v>
      </c>
      <c r="U11" t="s">
        <v>3</v>
      </c>
      <c r="V11" t="s">
        <v>23</v>
      </c>
      <c r="W11">
        <v>152</v>
      </c>
      <c r="X11">
        <f t="shared" si="0"/>
        <v>0.28399008816627208</v>
      </c>
      <c r="Y11">
        <f t="shared" si="1"/>
        <v>0.37544949745695477</v>
      </c>
      <c r="Z11">
        <f t="shared" si="2"/>
        <v>0.49193088236085275</v>
      </c>
      <c r="AA11">
        <f t="shared" si="3"/>
        <v>0.32971979281161345</v>
      </c>
      <c r="AB11">
        <f t="shared" si="4"/>
        <v>0.43369018990890373</v>
      </c>
    </row>
    <row r="12" spans="1:28" x14ac:dyDescent="0.3">
      <c r="A12" s="1" t="s">
        <v>14</v>
      </c>
      <c r="B12" s="1" t="s">
        <v>23</v>
      </c>
      <c r="C12" s="1">
        <v>44348</v>
      </c>
      <c r="D12">
        <v>152</v>
      </c>
      <c r="E12" t="s">
        <v>0</v>
      </c>
      <c r="F12">
        <v>2</v>
      </c>
      <c r="G12">
        <v>68.988154482758617</v>
      </c>
      <c r="H12" t="s">
        <v>1</v>
      </c>
      <c r="I12">
        <v>2</v>
      </c>
      <c r="J12">
        <v>95.649065714285712</v>
      </c>
      <c r="K12">
        <v>1.386456362420742</v>
      </c>
      <c r="L12" t="s">
        <v>2</v>
      </c>
      <c r="M12">
        <v>2</v>
      </c>
      <c r="N12">
        <v>85.283842756756755</v>
      </c>
      <c r="O12">
        <v>1.2362099464201601</v>
      </c>
      <c r="P12" t="s">
        <v>3</v>
      </c>
      <c r="Q12">
        <v>2</v>
      </c>
      <c r="R12">
        <v>25.901567931034485</v>
      </c>
      <c r="S12">
        <v>0.37544949745695477</v>
      </c>
      <c r="U12" t="s">
        <v>3</v>
      </c>
      <c r="V12" t="s">
        <v>23</v>
      </c>
      <c r="W12">
        <v>152</v>
      </c>
      <c r="X12">
        <f t="shared" si="0"/>
        <v>0.37544949745695477</v>
      </c>
      <c r="Y12">
        <f t="shared" si="1"/>
        <v>0.49193088236085275</v>
      </c>
      <c r="Z12">
        <f t="shared" si="2"/>
        <v>0.89100655813393692</v>
      </c>
      <c r="AA12">
        <f t="shared" si="3"/>
        <v>0.43369018990890373</v>
      </c>
      <c r="AB12">
        <f t="shared" si="4"/>
        <v>0.69146872024739481</v>
      </c>
    </row>
    <row r="13" spans="1:28" x14ac:dyDescent="0.3">
      <c r="A13" s="1" t="s">
        <v>14</v>
      </c>
      <c r="B13" s="1" t="s">
        <v>23</v>
      </c>
      <c r="C13" s="1">
        <v>44348</v>
      </c>
      <c r="D13">
        <v>152</v>
      </c>
      <c r="E13" t="s">
        <v>0</v>
      </c>
      <c r="F13">
        <v>3</v>
      </c>
      <c r="G13">
        <v>31.314661399999995</v>
      </c>
      <c r="H13" t="s">
        <v>1</v>
      </c>
      <c r="I13">
        <v>3</v>
      </c>
      <c r="J13">
        <v>93.883919999999989</v>
      </c>
      <c r="K13">
        <v>2.9980819144351343</v>
      </c>
      <c r="L13" t="s">
        <v>2</v>
      </c>
      <c r="M13">
        <v>3</v>
      </c>
      <c r="N13">
        <v>32.975640769230758</v>
      </c>
      <c r="O13">
        <v>1.0530415880284998</v>
      </c>
      <c r="P13" t="s">
        <v>3</v>
      </c>
      <c r="Q13">
        <v>3</v>
      </c>
      <c r="R13">
        <v>15.404649013333334</v>
      </c>
      <c r="S13">
        <v>0.49193088236085275</v>
      </c>
      <c r="U13" t="s">
        <v>3</v>
      </c>
      <c r="V13" t="s">
        <v>23</v>
      </c>
      <c r="W13">
        <v>152</v>
      </c>
      <c r="X13">
        <f t="shared" si="0"/>
        <v>0.49193088236085275</v>
      </c>
      <c r="Y13">
        <f t="shared" si="1"/>
        <v>0.89100655813393692</v>
      </c>
      <c r="Z13">
        <f t="shared" si="2"/>
        <v>1.054844301934333</v>
      </c>
      <c r="AA13">
        <f t="shared" si="3"/>
        <v>0.69146872024739481</v>
      </c>
      <c r="AB13">
        <f t="shared" si="4"/>
        <v>0.97292543003413501</v>
      </c>
    </row>
    <row r="14" spans="1:28" x14ac:dyDescent="0.3">
      <c r="A14" s="1" t="s">
        <v>13</v>
      </c>
      <c r="B14" s="1" t="s">
        <v>21</v>
      </c>
      <c r="C14" s="1">
        <v>44348</v>
      </c>
      <c r="D14">
        <v>152</v>
      </c>
      <c r="E14" t="s">
        <v>0</v>
      </c>
      <c r="F14">
        <v>1</v>
      </c>
      <c r="G14">
        <v>18.385900799999995</v>
      </c>
      <c r="H14" t="s">
        <v>1</v>
      </c>
      <c r="I14">
        <v>1</v>
      </c>
      <c r="J14">
        <v>8.134059756097562</v>
      </c>
      <c r="K14">
        <v>0.44240746453377822</v>
      </c>
      <c r="L14" t="s">
        <v>2</v>
      </c>
      <c r="M14">
        <v>1</v>
      </c>
      <c r="N14">
        <v>6.3430179024390245</v>
      </c>
      <c r="O14">
        <v>0.34499358891564486</v>
      </c>
      <c r="P14" t="s">
        <v>3</v>
      </c>
      <c r="Q14">
        <v>1</v>
      </c>
      <c r="R14">
        <v>16.381958189999992</v>
      </c>
      <c r="S14">
        <v>0.89100655813393692</v>
      </c>
      <c r="U14" t="s">
        <v>3</v>
      </c>
      <c r="V14" t="s">
        <v>21</v>
      </c>
      <c r="W14">
        <v>152</v>
      </c>
      <c r="X14">
        <f t="shared" si="0"/>
        <v>0.89100655813393692</v>
      </c>
      <c r="Y14">
        <f t="shared" si="1"/>
        <v>1.054844301934333</v>
      </c>
      <c r="Z14">
        <f t="shared" si="2"/>
        <v>1.2241431761337058</v>
      </c>
      <c r="AA14">
        <f t="shared" si="3"/>
        <v>0.97292543003413501</v>
      </c>
      <c r="AB14">
        <f t="shared" si="4"/>
        <v>1.1394937390340194</v>
      </c>
    </row>
    <row r="15" spans="1:28" x14ac:dyDescent="0.3">
      <c r="A15" s="1" t="s">
        <v>13</v>
      </c>
      <c r="B15" s="1" t="s">
        <v>21</v>
      </c>
      <c r="C15" s="1">
        <v>44348</v>
      </c>
      <c r="D15">
        <v>152</v>
      </c>
      <c r="E15" t="s">
        <v>0</v>
      </c>
      <c r="F15">
        <v>2</v>
      </c>
      <c r="G15">
        <v>19.282623950000001</v>
      </c>
      <c r="H15" t="s">
        <v>1</v>
      </c>
      <c r="I15">
        <v>2</v>
      </c>
      <c r="J15">
        <v>5.921006461538461</v>
      </c>
      <c r="K15">
        <v>0.30706435373586488</v>
      </c>
      <c r="L15" t="s">
        <v>2</v>
      </c>
      <c r="M15">
        <v>2</v>
      </c>
      <c r="N15">
        <v>6.2454560975609734</v>
      </c>
      <c r="O15">
        <v>0.32389036439000685</v>
      </c>
      <c r="P15" t="s">
        <v>3</v>
      </c>
      <c r="Q15">
        <v>2</v>
      </c>
      <c r="R15">
        <v>20.340166</v>
      </c>
      <c r="S15">
        <v>1.054844301934333</v>
      </c>
      <c r="U15" t="s">
        <v>3</v>
      </c>
      <c r="V15" t="s">
        <v>21</v>
      </c>
      <c r="W15">
        <v>152</v>
      </c>
      <c r="X15">
        <f t="shared" si="0"/>
        <v>1.054844301934333</v>
      </c>
      <c r="Y15">
        <f t="shared" si="1"/>
        <v>1.0669878223451901</v>
      </c>
      <c r="Z15">
        <f t="shared" si="2"/>
        <v>1.2241431761337058</v>
      </c>
      <c r="AA15">
        <f t="shared" si="3"/>
        <v>1.0609160621397615</v>
      </c>
      <c r="AB15">
        <f t="shared" si="4"/>
        <v>1.1455654992394479</v>
      </c>
    </row>
    <row r="16" spans="1:28" x14ac:dyDescent="0.3">
      <c r="A16" s="1" t="s">
        <v>13</v>
      </c>
      <c r="B16" s="1" t="s">
        <v>21</v>
      </c>
      <c r="C16" s="1">
        <v>44348</v>
      </c>
      <c r="D16">
        <v>152</v>
      </c>
      <c r="E16" t="s">
        <v>0</v>
      </c>
      <c r="F16">
        <v>3</v>
      </c>
      <c r="G16">
        <v>15.038835707317071</v>
      </c>
      <c r="H16" t="s">
        <v>1</v>
      </c>
      <c r="I16">
        <v>3</v>
      </c>
      <c r="J16">
        <v>6.7811023428571424</v>
      </c>
      <c r="K16">
        <v>0.45090607244002479</v>
      </c>
      <c r="L16" t="s">
        <v>2</v>
      </c>
      <c r="M16">
        <v>3</v>
      </c>
      <c r="N16">
        <v>4.6734052142857152</v>
      </c>
      <c r="O16">
        <v>0.31075578623496053</v>
      </c>
      <c r="P16" t="s">
        <v>3</v>
      </c>
      <c r="Q16">
        <v>3</v>
      </c>
      <c r="R16">
        <v>18.409688108108107</v>
      </c>
      <c r="S16">
        <v>1.2241431761337058</v>
      </c>
      <c r="U16" t="s">
        <v>3</v>
      </c>
      <c r="V16" t="s">
        <v>21</v>
      </c>
      <c r="W16">
        <v>152</v>
      </c>
      <c r="X16">
        <f t="shared" si="0"/>
        <v>0.75486964367444864</v>
      </c>
      <c r="Y16">
        <f t="shared" si="1"/>
        <v>1.0669878223451901</v>
      </c>
      <c r="Z16">
        <f t="shared" si="2"/>
        <v>1.2241431761337058</v>
      </c>
      <c r="AA16">
        <f t="shared" si="3"/>
        <v>0.91092873300981936</v>
      </c>
      <c r="AB16">
        <f t="shared" si="4"/>
        <v>1.1455654992394479</v>
      </c>
    </row>
    <row r="17" spans="1:28" x14ac:dyDescent="0.3">
      <c r="A17" s="1" t="s">
        <v>14</v>
      </c>
      <c r="B17" s="1" t="s">
        <v>23</v>
      </c>
      <c r="C17" s="1">
        <v>44348</v>
      </c>
      <c r="D17">
        <v>152</v>
      </c>
      <c r="E17" t="s">
        <v>0</v>
      </c>
      <c r="F17">
        <v>1</v>
      </c>
      <c r="G17">
        <v>3.9126880949999996</v>
      </c>
      <c r="H17" t="s">
        <v>1</v>
      </c>
      <c r="I17">
        <v>1</v>
      </c>
      <c r="J17">
        <v>2.6338752222222213</v>
      </c>
      <c r="K17">
        <v>0.67316258241694105</v>
      </c>
      <c r="L17" t="s">
        <v>2</v>
      </c>
      <c r="M17">
        <v>1</v>
      </c>
      <c r="N17">
        <v>0.74003789473684045</v>
      </c>
      <c r="O17">
        <v>0.1891379728638555</v>
      </c>
      <c r="P17" t="s">
        <v>3</v>
      </c>
      <c r="Q17">
        <v>1</v>
      </c>
      <c r="R17">
        <v>4.17479055</v>
      </c>
      <c r="S17">
        <v>1.0669878223451901</v>
      </c>
      <c r="U17" t="s">
        <v>3</v>
      </c>
      <c r="V17" t="s">
        <v>23</v>
      </c>
      <c r="W17">
        <v>152</v>
      </c>
      <c r="X17">
        <f>MIN(S17:S18)</f>
        <v>0.75486964367444864</v>
      </c>
      <c r="Y17">
        <f>MEDIAN(S17:S18)</f>
        <v>0.91092873300981936</v>
      </c>
      <c r="Z17">
        <f>MAX(S17:S18)</f>
        <v>1.0669878223451901</v>
      </c>
      <c r="AA17">
        <f>_xlfn.PERCENTILE.INC(S17:S18,0.25)</f>
        <v>0.83289918834213394</v>
      </c>
      <c r="AB17">
        <f>_xlfn.PERCENTILE.INC(S17:S18,0.75)</f>
        <v>0.98895827767750477</v>
      </c>
    </row>
    <row r="18" spans="1:28" x14ac:dyDescent="0.3">
      <c r="A18" s="1" t="s">
        <v>14</v>
      </c>
      <c r="B18" s="1" t="s">
        <v>23</v>
      </c>
      <c r="C18" s="1">
        <v>44348</v>
      </c>
      <c r="D18">
        <v>152</v>
      </c>
      <c r="E18" t="s">
        <v>0</v>
      </c>
      <c r="F18">
        <v>2</v>
      </c>
      <c r="G18">
        <v>5.1988914499999987</v>
      </c>
      <c r="H18" t="s">
        <v>1</v>
      </c>
      <c r="I18">
        <v>2</v>
      </c>
      <c r="J18">
        <v>1.8659581681578947</v>
      </c>
      <c r="K18">
        <v>0.35891462364691135</v>
      </c>
      <c r="L18" t="s">
        <v>2</v>
      </c>
      <c r="M18">
        <v>2</v>
      </c>
      <c r="N18">
        <v>0.80927049999999912</v>
      </c>
      <c r="O18">
        <v>0.15566212677896926</v>
      </c>
      <c r="P18" t="s">
        <v>3</v>
      </c>
      <c r="Q18">
        <v>2</v>
      </c>
      <c r="R18">
        <v>3.9244853363636367</v>
      </c>
      <c r="S18">
        <v>0.75486964367444864</v>
      </c>
      <c r="U18" t="s">
        <v>3</v>
      </c>
      <c r="V18" t="s">
        <v>23</v>
      </c>
      <c r="W18">
        <v>152</v>
      </c>
      <c r="X18">
        <f t="shared" si="0"/>
        <v>0.75486964367444864</v>
      </c>
      <c r="Y18">
        <f t="shared" si="1"/>
        <v>0.80493927333067539</v>
      </c>
      <c r="Z18">
        <f t="shared" si="2"/>
        <v>0.91033100976012149</v>
      </c>
      <c r="AA18">
        <f t="shared" si="3"/>
        <v>0.77990445850256207</v>
      </c>
      <c r="AB18">
        <f t="shared" si="4"/>
        <v>0.85763514154539844</v>
      </c>
    </row>
    <row r="19" spans="1:28" x14ac:dyDescent="0.3">
      <c r="A19" s="1" t="s">
        <v>13</v>
      </c>
      <c r="B19" s="1" t="s">
        <v>19</v>
      </c>
      <c r="C19" s="1">
        <v>44361</v>
      </c>
      <c r="D19">
        <v>165</v>
      </c>
      <c r="E19" t="s">
        <v>0</v>
      </c>
      <c r="F19">
        <v>1</v>
      </c>
      <c r="G19">
        <v>5.556367346938778</v>
      </c>
      <c r="H19" t="s">
        <v>1</v>
      </c>
      <c r="I19">
        <v>1</v>
      </c>
      <c r="J19">
        <v>6.7013281081081093</v>
      </c>
      <c r="K19">
        <v>1.2060628266056124</v>
      </c>
      <c r="L19" t="s">
        <v>2</v>
      </c>
      <c r="M19">
        <v>1</v>
      </c>
      <c r="N19">
        <v>8.1153622641509422</v>
      </c>
      <c r="O19">
        <v>1.4605517881430239</v>
      </c>
      <c r="P19" t="s">
        <v>3</v>
      </c>
      <c r="Q19">
        <v>1</v>
      </c>
      <c r="R19">
        <v>5.0581334975369447</v>
      </c>
      <c r="S19">
        <v>0.91033100976012149</v>
      </c>
      <c r="U19" t="s">
        <v>3</v>
      </c>
      <c r="V19" t="s">
        <v>19</v>
      </c>
      <c r="W19">
        <v>152</v>
      </c>
      <c r="X19">
        <f t="shared" si="0"/>
        <v>0.63285516547217457</v>
      </c>
      <c r="Y19">
        <f t="shared" si="1"/>
        <v>0.80493927333067539</v>
      </c>
      <c r="Z19">
        <f t="shared" si="2"/>
        <v>0.91033100976012149</v>
      </c>
      <c r="AA19">
        <f t="shared" si="3"/>
        <v>0.71889721940142493</v>
      </c>
      <c r="AB19">
        <f t="shared" si="4"/>
        <v>0.85763514154539844</v>
      </c>
    </row>
    <row r="20" spans="1:28" x14ac:dyDescent="0.3">
      <c r="A20" s="1" t="s">
        <v>13</v>
      </c>
      <c r="B20" s="1" t="s">
        <v>19</v>
      </c>
      <c r="C20" s="1">
        <v>44361</v>
      </c>
      <c r="D20">
        <v>165</v>
      </c>
      <c r="E20" t="s">
        <v>0</v>
      </c>
      <c r="F20">
        <v>2</v>
      </c>
      <c r="G20">
        <v>6.0413441269841286</v>
      </c>
      <c r="H20" t="s">
        <v>1</v>
      </c>
      <c r="I20">
        <v>2</v>
      </c>
      <c r="J20">
        <v>6.5288410256410261</v>
      </c>
      <c r="K20">
        <v>1.0806934497373615</v>
      </c>
      <c r="L20" t="s">
        <v>2</v>
      </c>
      <c r="M20">
        <v>2</v>
      </c>
      <c r="N20">
        <v>6.0095787128712868</v>
      </c>
      <c r="O20">
        <v>0.99474199558158605</v>
      </c>
      <c r="P20" t="s">
        <v>3</v>
      </c>
      <c r="Q20">
        <v>2</v>
      </c>
      <c r="R20">
        <v>4.8629151515151481</v>
      </c>
      <c r="S20">
        <v>0.80493927333067539</v>
      </c>
      <c r="U20" t="s">
        <v>3</v>
      </c>
      <c r="V20" t="s">
        <v>19</v>
      </c>
      <c r="W20">
        <v>165</v>
      </c>
      <c r="X20">
        <f t="shared" si="0"/>
        <v>0.63285516547217457</v>
      </c>
      <c r="Y20">
        <f t="shared" si="1"/>
        <v>0.80493927333067539</v>
      </c>
      <c r="Z20">
        <f t="shared" si="2"/>
        <v>1.8619900804279557</v>
      </c>
      <c r="AA20">
        <f t="shared" si="3"/>
        <v>0.71889721940142493</v>
      </c>
      <c r="AB20">
        <f t="shared" si="4"/>
        <v>1.3334646768793155</v>
      </c>
    </row>
    <row r="21" spans="1:28" x14ac:dyDescent="0.3">
      <c r="A21" s="1" t="s">
        <v>13</v>
      </c>
      <c r="B21" s="1" t="s">
        <v>19</v>
      </c>
      <c r="C21" s="1">
        <v>44361</v>
      </c>
      <c r="D21">
        <v>165</v>
      </c>
      <c r="E21" t="s">
        <v>0</v>
      </c>
      <c r="F21">
        <v>3</v>
      </c>
      <c r="G21">
        <v>7.8250200000000021</v>
      </c>
      <c r="H21" t="s">
        <v>1</v>
      </c>
      <c r="I21">
        <v>3</v>
      </c>
      <c r="J21">
        <v>10.486253095238094</v>
      </c>
      <c r="K21">
        <v>1.3400928170455912</v>
      </c>
      <c r="L21" t="s">
        <v>2</v>
      </c>
      <c r="M21">
        <v>3</v>
      </c>
      <c r="N21">
        <v>7.2978828431372538</v>
      </c>
      <c r="O21">
        <v>0.93263440133536424</v>
      </c>
      <c r="P21" t="s">
        <v>3</v>
      </c>
      <c r="Q21">
        <v>3</v>
      </c>
      <c r="R21">
        <v>4.9521043269230764</v>
      </c>
      <c r="S21">
        <v>0.63285516547217457</v>
      </c>
      <c r="U21" t="s">
        <v>3</v>
      </c>
      <c r="V21" t="s">
        <v>19</v>
      </c>
      <c r="W21">
        <v>165</v>
      </c>
      <c r="X21">
        <f t="shared" si="0"/>
        <v>0.63285516547217457</v>
      </c>
      <c r="Y21">
        <f t="shared" si="1"/>
        <v>1.5084989202941457</v>
      </c>
      <c r="Z21">
        <f t="shared" si="2"/>
        <v>1.8619900804279557</v>
      </c>
      <c r="AA21">
        <f t="shared" si="3"/>
        <v>1.07067704288316</v>
      </c>
      <c r="AB21">
        <f t="shared" si="4"/>
        <v>1.6852445003610508</v>
      </c>
    </row>
    <row r="22" spans="1:28" x14ac:dyDescent="0.3">
      <c r="A22" s="1" t="s">
        <v>14</v>
      </c>
      <c r="B22" s="1" t="s">
        <v>22</v>
      </c>
      <c r="C22" s="1">
        <v>44361</v>
      </c>
      <c r="D22">
        <v>165</v>
      </c>
      <c r="E22" t="s">
        <v>0</v>
      </c>
      <c r="F22">
        <v>1</v>
      </c>
      <c r="G22">
        <v>0.92696519607843442</v>
      </c>
      <c r="H22" t="s">
        <v>1</v>
      </c>
      <c r="I22">
        <v>1</v>
      </c>
      <c r="J22">
        <v>-0.43482566844919918</v>
      </c>
      <c r="K22">
        <v>-0.46908521516098728</v>
      </c>
      <c r="L22" t="s">
        <v>2</v>
      </c>
      <c r="M22">
        <v>1</v>
      </c>
      <c r="N22">
        <v>1.42293165829146</v>
      </c>
      <c r="O22">
        <v>1.5350432403624565</v>
      </c>
      <c r="P22" t="s">
        <v>3</v>
      </c>
      <c r="Q22">
        <v>1</v>
      </c>
      <c r="R22">
        <v>1.7259999999999998</v>
      </c>
      <c r="S22">
        <v>1.8619900804279557</v>
      </c>
      <c r="U22" t="s">
        <v>3</v>
      </c>
      <c r="V22" t="s">
        <v>22</v>
      </c>
      <c r="W22">
        <v>165</v>
      </c>
      <c r="X22">
        <f t="shared" si="0"/>
        <v>1.5084989202941457</v>
      </c>
      <c r="Y22">
        <f t="shared" si="1"/>
        <v>1.8619900804279557</v>
      </c>
      <c r="Z22">
        <f t="shared" si="2"/>
        <v>4.6078638905727152</v>
      </c>
      <c r="AA22">
        <f t="shared" si="3"/>
        <v>1.6852445003610508</v>
      </c>
      <c r="AB22">
        <f t="shared" si="4"/>
        <v>3.2349269855003353</v>
      </c>
    </row>
    <row r="23" spans="1:28" x14ac:dyDescent="0.3">
      <c r="A23" s="1" t="s">
        <v>14</v>
      </c>
      <c r="B23" s="1" t="s">
        <v>22</v>
      </c>
      <c r="C23" s="1">
        <v>44361</v>
      </c>
      <c r="D23">
        <v>165</v>
      </c>
      <c r="E23" t="s">
        <v>0</v>
      </c>
      <c r="F23">
        <v>2</v>
      </c>
      <c r="G23">
        <v>1.4110349753694573</v>
      </c>
      <c r="H23" t="s">
        <v>1</v>
      </c>
      <c r="I23">
        <v>2</v>
      </c>
      <c r="J23">
        <v>-1.2113053475935802</v>
      </c>
      <c r="K23">
        <v>-0.85845168173554232</v>
      </c>
      <c r="L23" t="s">
        <v>2</v>
      </c>
      <c r="M23">
        <v>2</v>
      </c>
      <c r="N23">
        <v>0.72510159793814399</v>
      </c>
      <c r="O23">
        <v>0.51387925217678432</v>
      </c>
      <c r="P23" t="s">
        <v>3</v>
      </c>
      <c r="Q23">
        <v>2</v>
      </c>
      <c r="R23">
        <v>2.1285447368421027</v>
      </c>
      <c r="S23">
        <v>1.5084989202941457</v>
      </c>
      <c r="U23" t="s">
        <v>3</v>
      </c>
      <c r="V23" t="s">
        <v>22</v>
      </c>
      <c r="W23">
        <v>165</v>
      </c>
      <c r="X23">
        <f t="shared" si="0"/>
        <v>1.5084989202941457</v>
      </c>
      <c r="Y23">
        <f t="shared" si="1"/>
        <v>1.5730192044604521</v>
      </c>
      <c r="Z23">
        <f t="shared" si="2"/>
        <v>4.6078638905727152</v>
      </c>
      <c r="AA23">
        <f t="shared" si="3"/>
        <v>1.5407590623772989</v>
      </c>
      <c r="AB23">
        <f t="shared" si="4"/>
        <v>3.0904415475165834</v>
      </c>
    </row>
    <row r="24" spans="1:28" x14ac:dyDescent="0.3">
      <c r="A24" s="1" t="s">
        <v>14</v>
      </c>
      <c r="B24" s="1" t="s">
        <v>22</v>
      </c>
      <c r="C24" s="1">
        <v>44361</v>
      </c>
      <c r="D24">
        <v>165</v>
      </c>
      <c r="E24" t="s">
        <v>0</v>
      </c>
      <c r="F24">
        <v>3</v>
      </c>
      <c r="G24">
        <v>0.28932078048780491</v>
      </c>
      <c r="H24" t="s">
        <v>1</v>
      </c>
      <c r="I24">
        <v>3</v>
      </c>
      <c r="J24">
        <v>0.7716592592592576</v>
      </c>
      <c r="K24">
        <v>2.6671408046052316</v>
      </c>
      <c r="L24" t="s">
        <v>2</v>
      </c>
      <c r="M24">
        <v>3</v>
      </c>
      <c r="N24">
        <v>1.501024864864867</v>
      </c>
      <c r="O24">
        <v>5.1880990447146136</v>
      </c>
      <c r="P24" t="s">
        <v>3</v>
      </c>
      <c r="Q24">
        <v>3</v>
      </c>
      <c r="R24">
        <v>1.3331507772020712</v>
      </c>
      <c r="S24">
        <v>4.6078638905727152</v>
      </c>
      <c r="U24" t="s">
        <v>3</v>
      </c>
      <c r="V24" t="s">
        <v>22</v>
      </c>
      <c r="W24">
        <v>165</v>
      </c>
      <c r="X24">
        <f t="shared" si="0"/>
        <v>0.77308962576829943</v>
      </c>
      <c r="Y24">
        <f t="shared" si="1"/>
        <v>1.5730192044604521</v>
      </c>
      <c r="Z24">
        <f t="shared" si="2"/>
        <v>4.6078638905727152</v>
      </c>
      <c r="AA24">
        <f t="shared" si="3"/>
        <v>1.1730544151143758</v>
      </c>
      <c r="AB24">
        <f t="shared" si="4"/>
        <v>3.0904415475165834</v>
      </c>
    </row>
    <row r="25" spans="1:28" x14ac:dyDescent="0.3">
      <c r="A25" s="1" t="s">
        <v>13</v>
      </c>
      <c r="B25" s="1" t="s">
        <v>20</v>
      </c>
      <c r="C25" s="1">
        <v>44361</v>
      </c>
      <c r="D25">
        <v>165</v>
      </c>
      <c r="E25" t="s">
        <v>0</v>
      </c>
      <c r="F25">
        <v>1</v>
      </c>
      <c r="G25">
        <v>18.311585000000001</v>
      </c>
      <c r="H25" t="s">
        <v>1</v>
      </c>
      <c r="I25">
        <v>1</v>
      </c>
      <c r="J25">
        <v>66.093105365853646</v>
      </c>
      <c r="K25">
        <v>3.6093601600218466</v>
      </c>
      <c r="L25" t="s">
        <v>2</v>
      </c>
      <c r="M25">
        <v>1</v>
      </c>
      <c r="N25">
        <v>129.361546</v>
      </c>
      <c r="O25">
        <v>7.0644647090899015</v>
      </c>
      <c r="P25" t="s">
        <v>3</v>
      </c>
      <c r="Q25">
        <v>1</v>
      </c>
      <c r="R25">
        <v>28.804474869109949</v>
      </c>
      <c r="S25">
        <v>1.5730192044604521</v>
      </c>
      <c r="U25" t="s">
        <v>3</v>
      </c>
      <c r="V25" t="s">
        <v>20</v>
      </c>
      <c r="W25">
        <v>165</v>
      </c>
      <c r="X25">
        <f t="shared" si="0"/>
        <v>0.77308962576829943</v>
      </c>
      <c r="Y25">
        <f t="shared" si="1"/>
        <v>1.1730544151143758</v>
      </c>
      <c r="Z25">
        <f t="shared" si="2"/>
        <v>1.5730192044604521</v>
      </c>
      <c r="AA25">
        <f t="shared" si="3"/>
        <v>0.97307202044133756</v>
      </c>
      <c r="AB25">
        <f t="shared" si="4"/>
        <v>1.3730368097874139</v>
      </c>
    </row>
    <row r="26" spans="1:28" x14ac:dyDescent="0.3">
      <c r="A26" s="1" t="s">
        <v>13</v>
      </c>
      <c r="B26" s="1" t="s">
        <v>20</v>
      </c>
      <c r="C26" s="1">
        <v>44361</v>
      </c>
      <c r="D26">
        <v>165</v>
      </c>
      <c r="E26" t="s">
        <v>0</v>
      </c>
      <c r="F26">
        <v>2</v>
      </c>
      <c r="G26">
        <v>28.723168000000001</v>
      </c>
      <c r="H26" t="s">
        <v>1</v>
      </c>
      <c r="I26">
        <v>2</v>
      </c>
      <c r="J26">
        <v>85.547064356435641</v>
      </c>
      <c r="K26">
        <v>2.9783297008336835</v>
      </c>
      <c r="L26" t="s">
        <v>2</v>
      </c>
      <c r="M26">
        <v>2</v>
      </c>
      <c r="N26">
        <v>85.969195942028989</v>
      </c>
      <c r="O26">
        <v>2.9930262546954776</v>
      </c>
      <c r="P26" t="s">
        <v>3</v>
      </c>
      <c r="Q26">
        <v>2</v>
      </c>
      <c r="R26">
        <v>22.205583199999996</v>
      </c>
      <c r="S26">
        <v>0.77308962576829943</v>
      </c>
      <c r="U26" t="s">
        <v>3</v>
      </c>
      <c r="V26" t="s">
        <v>20</v>
      </c>
      <c r="W26">
        <v>165</v>
      </c>
      <c r="X26">
        <f t="shared" si="0"/>
        <v>0.73963105705449739</v>
      </c>
      <c r="Y26">
        <f t="shared" si="1"/>
        <v>0.75636034141139841</v>
      </c>
      <c r="Z26">
        <f t="shared" si="2"/>
        <v>0.77308962576829943</v>
      </c>
      <c r="AA26">
        <f t="shared" si="3"/>
        <v>0.74799569923294795</v>
      </c>
      <c r="AB26">
        <f t="shared" si="4"/>
        <v>0.76472498358984886</v>
      </c>
    </row>
    <row r="27" spans="1:28" x14ac:dyDescent="0.3">
      <c r="A27" s="1" t="s">
        <v>13</v>
      </c>
      <c r="B27" s="1" t="s">
        <v>20</v>
      </c>
      <c r="C27" s="1">
        <v>44361</v>
      </c>
      <c r="D27">
        <v>165</v>
      </c>
      <c r="E27" t="s">
        <v>0</v>
      </c>
      <c r="F27">
        <v>3</v>
      </c>
      <c r="G27">
        <v>28.03086748768472</v>
      </c>
      <c r="H27" t="s">
        <v>1</v>
      </c>
      <c r="I27">
        <v>3</v>
      </c>
      <c r="J27">
        <v>52.37495365853659</v>
      </c>
      <c r="K27">
        <v>1.8684742340402904</v>
      </c>
      <c r="L27" t="s">
        <v>2</v>
      </c>
      <c r="M27">
        <v>3</v>
      </c>
      <c r="N27">
        <v>110.54321897435898</v>
      </c>
      <c r="O27">
        <v>3.9436246139341145</v>
      </c>
      <c r="U27" t="s">
        <v>3</v>
      </c>
      <c r="V27" t="s">
        <v>20</v>
      </c>
      <c r="W27">
        <v>165</v>
      </c>
      <c r="X27">
        <f t="shared" si="0"/>
        <v>0.73963105705449739</v>
      </c>
      <c r="Y27">
        <f t="shared" si="1"/>
        <v>0.85269784104567026</v>
      </c>
      <c r="Z27">
        <f t="shared" si="2"/>
        <v>0.96576462503684324</v>
      </c>
      <c r="AA27">
        <f t="shared" si="3"/>
        <v>0.79616444905008388</v>
      </c>
      <c r="AB27">
        <f t="shared" si="4"/>
        <v>0.90923123304125675</v>
      </c>
    </row>
    <row r="28" spans="1:28" x14ac:dyDescent="0.3">
      <c r="A28" s="1" t="s">
        <v>14</v>
      </c>
      <c r="B28" s="1" t="s">
        <v>23</v>
      </c>
      <c r="C28" s="1">
        <v>44361</v>
      </c>
      <c r="D28">
        <v>165</v>
      </c>
      <c r="E28" t="s">
        <v>0</v>
      </c>
      <c r="F28">
        <v>1</v>
      </c>
      <c r="G28">
        <v>5.8659615384615398</v>
      </c>
      <c r="H28" t="s">
        <v>1</v>
      </c>
      <c r="I28">
        <v>1</v>
      </c>
      <c r="J28">
        <v>3.2571668421052622</v>
      </c>
      <c r="K28">
        <v>0.55526563219838576</v>
      </c>
      <c r="L28" t="s">
        <v>2</v>
      </c>
      <c r="M28">
        <v>1</v>
      </c>
      <c r="N28">
        <v>-2.3249019999999985</v>
      </c>
      <c r="O28">
        <v>-0.39633775038520769</v>
      </c>
      <c r="P28" t="s">
        <v>3</v>
      </c>
      <c r="Q28">
        <v>1</v>
      </c>
      <c r="R28">
        <v>4.3386473333333342</v>
      </c>
      <c r="S28">
        <v>0.73963105705449739</v>
      </c>
      <c r="U28" t="s">
        <v>3</v>
      </c>
      <c r="V28" t="s">
        <v>23</v>
      </c>
      <c r="W28">
        <v>165</v>
      </c>
      <c r="X28">
        <f t="shared" si="0"/>
        <v>0.21420873156566345</v>
      </c>
      <c r="Y28">
        <f t="shared" si="1"/>
        <v>0.73963105705449739</v>
      </c>
      <c r="Z28">
        <f t="shared" si="2"/>
        <v>0.96576462503684324</v>
      </c>
      <c r="AA28">
        <f t="shared" si="3"/>
        <v>0.47691989431008042</v>
      </c>
      <c r="AB28">
        <f t="shared" si="4"/>
        <v>0.85269784104567026</v>
      </c>
    </row>
    <row r="29" spans="1:28" x14ac:dyDescent="0.3">
      <c r="A29" s="1" t="s">
        <v>14</v>
      </c>
      <c r="B29" s="1" t="s">
        <v>23</v>
      </c>
      <c r="C29" s="1">
        <v>44361</v>
      </c>
      <c r="D29">
        <v>165</v>
      </c>
      <c r="E29" t="s">
        <v>0</v>
      </c>
      <c r="F29">
        <v>2</v>
      </c>
      <c r="G29">
        <v>4.0444903589743593</v>
      </c>
      <c r="H29" t="s">
        <v>1</v>
      </c>
      <c r="I29">
        <v>2</v>
      </c>
      <c r="J29">
        <v>2.1760721052631573</v>
      </c>
      <c r="K29">
        <v>0.53803369822223701</v>
      </c>
      <c r="L29" t="s">
        <v>2</v>
      </c>
      <c r="M29">
        <v>2</v>
      </c>
      <c r="N29">
        <v>0.59303200000000089</v>
      </c>
      <c r="O29">
        <v>0.146627126625266</v>
      </c>
      <c r="P29" t="s">
        <v>3</v>
      </c>
      <c r="Q29">
        <v>2</v>
      </c>
      <c r="R29">
        <v>3.9060257149999997</v>
      </c>
      <c r="S29">
        <v>0.96576462503684324</v>
      </c>
      <c r="U29" t="s">
        <v>3</v>
      </c>
      <c r="V29" t="s">
        <v>23</v>
      </c>
      <c r="W29">
        <v>165</v>
      </c>
      <c r="X29">
        <f t="shared" si="0"/>
        <v>0.21420873156566345</v>
      </c>
      <c r="Y29">
        <f t="shared" si="1"/>
        <v>0.76461737293817456</v>
      </c>
      <c r="Z29">
        <f t="shared" si="2"/>
        <v>0.96576462503684324</v>
      </c>
      <c r="AA29">
        <f t="shared" si="3"/>
        <v>0.489413052251919</v>
      </c>
      <c r="AB29">
        <f t="shared" si="4"/>
        <v>0.86519099898750884</v>
      </c>
    </row>
    <row r="30" spans="1:28" x14ac:dyDescent="0.3">
      <c r="A30" s="1" t="s">
        <v>14</v>
      </c>
      <c r="B30" s="1" t="s">
        <v>23</v>
      </c>
      <c r="C30" s="1">
        <v>44361</v>
      </c>
      <c r="D30">
        <v>165</v>
      </c>
      <c r="E30" t="s">
        <v>0</v>
      </c>
      <c r="F30">
        <v>3</v>
      </c>
      <c r="G30">
        <v>4.432822171717171</v>
      </c>
      <c r="H30" t="s">
        <v>1</v>
      </c>
      <c r="I30">
        <v>3</v>
      </c>
      <c r="J30">
        <v>4.8804882653061181</v>
      </c>
      <c r="K30">
        <v>1.100988958331151</v>
      </c>
      <c r="L30" t="s">
        <v>2</v>
      </c>
      <c r="M30">
        <v>3</v>
      </c>
      <c r="N30">
        <v>1.5707637499999996</v>
      </c>
      <c r="O30">
        <v>0.35434846902318273</v>
      </c>
      <c r="P30" t="s">
        <v>3</v>
      </c>
      <c r="Q30">
        <v>3</v>
      </c>
      <c r="R30">
        <v>0.94954921465968478</v>
      </c>
      <c r="S30">
        <v>0.21420873156566345</v>
      </c>
      <c r="U30" t="s">
        <v>3</v>
      </c>
      <c r="V30" t="s">
        <v>23</v>
      </c>
      <c r="W30">
        <v>165</v>
      </c>
      <c r="X30">
        <f t="shared" si="0"/>
        <v>0.21420873156566345</v>
      </c>
      <c r="Y30">
        <f t="shared" si="1"/>
        <v>0.74558228136689408</v>
      </c>
      <c r="Z30">
        <f t="shared" si="2"/>
        <v>0.76461737293817456</v>
      </c>
      <c r="AA30">
        <f t="shared" si="3"/>
        <v>0.47989550646627877</v>
      </c>
      <c r="AB30">
        <f t="shared" si="4"/>
        <v>0.75509982715253432</v>
      </c>
    </row>
    <row r="31" spans="1:28" x14ac:dyDescent="0.3">
      <c r="A31" s="1" t="s">
        <v>13</v>
      </c>
      <c r="B31" s="1" t="s">
        <v>21</v>
      </c>
      <c r="C31" s="1">
        <v>44361</v>
      </c>
      <c r="D31">
        <v>165</v>
      </c>
      <c r="E31" t="s">
        <v>0</v>
      </c>
      <c r="F31">
        <v>1</v>
      </c>
      <c r="G31">
        <v>60.94161282051283</v>
      </c>
      <c r="H31" t="s">
        <v>1</v>
      </c>
      <c r="I31">
        <v>1</v>
      </c>
      <c r="J31">
        <v>21.702305128205126</v>
      </c>
      <c r="K31">
        <v>0.35611635668592234</v>
      </c>
      <c r="L31" t="s">
        <v>2</v>
      </c>
      <c r="M31">
        <v>1</v>
      </c>
      <c r="N31">
        <v>21.469071794871795</v>
      </c>
      <c r="O31">
        <v>0.3522891961869008</v>
      </c>
      <c r="P31" t="s">
        <v>3</v>
      </c>
      <c r="Q31">
        <v>1</v>
      </c>
      <c r="R31">
        <v>46.597015897435895</v>
      </c>
      <c r="S31">
        <v>0.76461737293817456</v>
      </c>
      <c r="U31" t="s">
        <v>3</v>
      </c>
      <c r="V31" t="s">
        <v>21</v>
      </c>
      <c r="W31">
        <v>165</v>
      </c>
      <c r="X31">
        <f t="shared" si="0"/>
        <v>0.66740870223085946</v>
      </c>
      <c r="Y31">
        <f t="shared" si="1"/>
        <v>0.74558228136689408</v>
      </c>
      <c r="Z31">
        <f t="shared" si="2"/>
        <v>0.76461737293817456</v>
      </c>
      <c r="AA31">
        <f t="shared" si="3"/>
        <v>0.70649549179887683</v>
      </c>
      <c r="AB31">
        <f t="shared" si="4"/>
        <v>0.75509982715253432</v>
      </c>
    </row>
    <row r="32" spans="1:28" x14ac:dyDescent="0.3">
      <c r="A32" s="1" t="s">
        <v>13</v>
      </c>
      <c r="B32" s="1" t="s">
        <v>21</v>
      </c>
      <c r="C32" s="1">
        <v>44361</v>
      </c>
      <c r="D32">
        <v>165</v>
      </c>
      <c r="E32" t="s">
        <v>0</v>
      </c>
      <c r="F32">
        <v>2</v>
      </c>
      <c r="G32">
        <v>62.103354210526319</v>
      </c>
      <c r="H32" t="s">
        <v>1</v>
      </c>
      <c r="I32">
        <v>2</v>
      </c>
      <c r="J32">
        <v>10.057295151515151</v>
      </c>
      <c r="K32">
        <v>0.16194447593638142</v>
      </c>
      <c r="L32" t="s">
        <v>2</v>
      </c>
      <c r="M32">
        <v>2</v>
      </c>
      <c r="N32">
        <v>16.337659250000002</v>
      </c>
      <c r="O32">
        <v>0.26307209099554274</v>
      </c>
      <c r="P32" t="s">
        <v>3</v>
      </c>
      <c r="Q32">
        <v>2</v>
      </c>
      <c r="R32">
        <v>46.303160512820519</v>
      </c>
      <c r="S32">
        <v>0.74558228136689408</v>
      </c>
      <c r="U32" t="s">
        <v>3</v>
      </c>
      <c r="V32" t="s">
        <v>21</v>
      </c>
      <c r="W32">
        <v>165</v>
      </c>
      <c r="X32">
        <f t="shared" si="0"/>
        <v>0.14967719271530369</v>
      </c>
      <c r="Y32">
        <f t="shared" si="1"/>
        <v>0.66740870223085946</v>
      </c>
      <c r="Z32">
        <f t="shared" si="2"/>
        <v>0.74558228136689408</v>
      </c>
      <c r="AA32">
        <f t="shared" si="3"/>
        <v>0.40854294747308162</v>
      </c>
      <c r="AB32">
        <f t="shared" si="4"/>
        <v>0.70649549179887683</v>
      </c>
    </row>
    <row r="33" spans="1:28" x14ac:dyDescent="0.3">
      <c r="A33" s="1" t="s">
        <v>13</v>
      </c>
      <c r="B33" s="1" t="s">
        <v>21</v>
      </c>
      <c r="C33" s="1">
        <v>44361</v>
      </c>
      <c r="D33">
        <v>165</v>
      </c>
      <c r="E33" t="s">
        <v>0</v>
      </c>
      <c r="F33">
        <v>3</v>
      </c>
      <c r="G33">
        <v>63.146059374999986</v>
      </c>
      <c r="H33" t="s">
        <v>1</v>
      </c>
      <c r="I33">
        <v>3</v>
      </c>
      <c r="J33">
        <v>15.868548691099477</v>
      </c>
      <c r="K33">
        <v>0.25129911269462302</v>
      </c>
      <c r="L33" t="s">
        <v>2</v>
      </c>
      <c r="M33">
        <v>3</v>
      </c>
      <c r="N33">
        <v>15.432459043902437</v>
      </c>
      <c r="O33">
        <v>0.24439306580090836</v>
      </c>
      <c r="P33" t="s">
        <v>3</v>
      </c>
      <c r="Q33">
        <v>3</v>
      </c>
      <c r="R33">
        <v>42.144229538461538</v>
      </c>
      <c r="S33">
        <v>0.66740870223085946</v>
      </c>
      <c r="U33" t="s">
        <v>3</v>
      </c>
      <c r="V33" t="s">
        <v>21</v>
      </c>
      <c r="W33">
        <v>165</v>
      </c>
      <c r="X33">
        <f t="shared" si="0"/>
        <v>0.14967719271530369</v>
      </c>
      <c r="Y33">
        <f t="shared" si="1"/>
        <v>0.47821582371847388</v>
      </c>
      <c r="Z33">
        <f t="shared" si="2"/>
        <v>0.66740870223085946</v>
      </c>
      <c r="AA33">
        <f t="shared" si="3"/>
        <v>0.31394650821688874</v>
      </c>
      <c r="AB33">
        <f t="shared" si="4"/>
        <v>0.5728122629746667</v>
      </c>
    </row>
    <row r="34" spans="1:28" x14ac:dyDescent="0.3">
      <c r="A34" s="1" t="s">
        <v>14</v>
      </c>
      <c r="B34" s="1" t="s">
        <v>24</v>
      </c>
      <c r="C34" s="1">
        <v>44361</v>
      </c>
      <c r="D34">
        <v>165</v>
      </c>
      <c r="E34" t="s">
        <v>0</v>
      </c>
      <c r="F34">
        <v>1</v>
      </c>
      <c r="G34">
        <v>6.0348779487179467</v>
      </c>
      <c r="H34" t="s">
        <v>1</v>
      </c>
      <c r="I34">
        <v>1</v>
      </c>
      <c r="J34">
        <v>4.0936599999999999</v>
      </c>
      <c r="K34">
        <v>0.67833351971429012</v>
      </c>
      <c r="L34" t="s">
        <v>2</v>
      </c>
      <c r="M34">
        <v>1</v>
      </c>
      <c r="N34">
        <v>-0.1874233160621761</v>
      </c>
      <c r="O34">
        <v>-3.1056687087100483E-2</v>
      </c>
      <c r="P34" t="s">
        <v>3</v>
      </c>
      <c r="Q34">
        <v>1</v>
      </c>
      <c r="R34">
        <v>0.90328358974359269</v>
      </c>
      <c r="S34">
        <v>0.14967719271530369</v>
      </c>
      <c r="U34" t="s">
        <v>3</v>
      </c>
      <c r="V34" t="s">
        <v>24</v>
      </c>
      <c r="W34">
        <v>165</v>
      </c>
      <c r="X34">
        <f t="shared" si="0"/>
        <v>0.14967719271530369</v>
      </c>
      <c r="Y34">
        <f t="shared" si="1"/>
        <v>0.47821582371847388</v>
      </c>
      <c r="Z34">
        <f t="shared" si="2"/>
        <v>0.49845270801730923</v>
      </c>
      <c r="AA34">
        <f t="shared" si="3"/>
        <v>0.31394650821688874</v>
      </c>
      <c r="AB34">
        <f t="shared" si="4"/>
        <v>0.48833426586789153</v>
      </c>
    </row>
    <row r="35" spans="1:28" x14ac:dyDescent="0.3">
      <c r="A35" s="1" t="s">
        <v>14</v>
      </c>
      <c r="B35" s="1" t="s">
        <v>24</v>
      </c>
      <c r="C35" s="1">
        <v>44361</v>
      </c>
      <c r="D35">
        <v>165</v>
      </c>
      <c r="E35" t="s">
        <v>0</v>
      </c>
      <c r="F35">
        <v>2</v>
      </c>
      <c r="G35">
        <v>4.5316150000000084</v>
      </c>
      <c r="H35" t="s">
        <v>1</v>
      </c>
      <c r="I35">
        <v>2</v>
      </c>
      <c r="J35">
        <v>3.9913162436548197</v>
      </c>
      <c r="K35">
        <v>0.88077125785284327</v>
      </c>
      <c r="L35" t="s">
        <v>2</v>
      </c>
      <c r="M35">
        <v>2</v>
      </c>
      <c r="N35">
        <v>0.41971365853658588</v>
      </c>
      <c r="O35">
        <v>9.2619001953295921E-2</v>
      </c>
      <c r="P35" t="s">
        <v>3</v>
      </c>
      <c r="Q35">
        <v>2</v>
      </c>
      <c r="R35">
        <v>2.167089999999996</v>
      </c>
      <c r="S35">
        <v>0.47821582371847388</v>
      </c>
      <c r="U35" t="s">
        <v>3</v>
      </c>
      <c r="V35" t="s">
        <v>24</v>
      </c>
      <c r="W35">
        <v>165</v>
      </c>
      <c r="X35">
        <f t="shared" si="0"/>
        <v>0.47821582371847388</v>
      </c>
      <c r="Y35">
        <f t="shared" si="1"/>
        <v>0.49845270801730923</v>
      </c>
      <c r="Z35">
        <f t="shared" si="2"/>
        <v>0.70385567420379891</v>
      </c>
      <c r="AA35">
        <f t="shared" si="3"/>
        <v>0.48833426586789153</v>
      </c>
      <c r="AB35">
        <f t="shared" si="4"/>
        <v>0.60115419111055401</v>
      </c>
    </row>
    <row r="36" spans="1:28" x14ac:dyDescent="0.3">
      <c r="A36" s="1" t="s">
        <v>14</v>
      </c>
      <c r="B36" s="1" t="s">
        <v>24</v>
      </c>
      <c r="C36" s="1">
        <v>44361</v>
      </c>
      <c r="D36">
        <v>165</v>
      </c>
      <c r="E36" t="s">
        <v>0</v>
      </c>
      <c r="F36">
        <v>3</v>
      </c>
      <c r="G36">
        <v>4.0626553197969537</v>
      </c>
      <c r="H36" t="s">
        <v>1</v>
      </c>
      <c r="I36">
        <v>3</v>
      </c>
      <c r="J36">
        <v>4.3766433947368411</v>
      </c>
      <c r="K36">
        <v>1.077286417434886</v>
      </c>
      <c r="L36" t="s">
        <v>2</v>
      </c>
      <c r="M36">
        <v>3</v>
      </c>
      <c r="N36">
        <v>5.354500000000359E-2</v>
      </c>
      <c r="O36">
        <v>1.3179803794597987E-2</v>
      </c>
      <c r="P36" t="s">
        <v>3</v>
      </c>
      <c r="Q36">
        <v>3</v>
      </c>
      <c r="R36">
        <v>2.025041545893719</v>
      </c>
      <c r="S36">
        <v>0.49845270801730923</v>
      </c>
      <c r="U36" t="s">
        <v>3</v>
      </c>
      <c r="V36" t="s">
        <v>24</v>
      </c>
      <c r="W36">
        <v>165</v>
      </c>
      <c r="X36">
        <f t="shared" si="0"/>
        <v>0.49845270801730923</v>
      </c>
      <c r="Y36">
        <f t="shared" si="1"/>
        <v>0.61184332424497967</v>
      </c>
      <c r="Z36">
        <f t="shared" si="2"/>
        <v>0.70385567420379891</v>
      </c>
      <c r="AA36">
        <f t="shared" si="3"/>
        <v>0.5551480161311444</v>
      </c>
      <c r="AB36">
        <f t="shared" si="4"/>
        <v>0.65784949922438929</v>
      </c>
    </row>
    <row r="37" spans="1:28" x14ac:dyDescent="0.3">
      <c r="A37" s="1" t="s">
        <v>13</v>
      </c>
      <c r="B37" s="1" t="s">
        <v>19</v>
      </c>
      <c r="C37" s="1">
        <v>44368</v>
      </c>
      <c r="D37">
        <v>172</v>
      </c>
      <c r="E37" t="s">
        <v>0</v>
      </c>
      <c r="F37">
        <v>1</v>
      </c>
      <c r="G37">
        <v>103.8889988095238</v>
      </c>
      <c r="H37" t="s">
        <v>1</v>
      </c>
      <c r="I37">
        <v>1</v>
      </c>
      <c r="J37">
        <v>41.372190721649488</v>
      </c>
      <c r="K37">
        <v>0.39823456954767361</v>
      </c>
      <c r="L37" t="s">
        <v>2</v>
      </c>
      <c r="M37">
        <v>1</v>
      </c>
      <c r="N37">
        <v>60.223747236180898</v>
      </c>
      <c r="O37">
        <v>0.57969321031381449</v>
      </c>
      <c r="P37" t="s">
        <v>3</v>
      </c>
      <c r="Q37">
        <v>2</v>
      </c>
      <c r="R37">
        <v>73.12286129943503</v>
      </c>
      <c r="S37">
        <v>0.70385567420379891</v>
      </c>
      <c r="U37" t="s">
        <v>3</v>
      </c>
      <c r="V37" t="s">
        <v>19</v>
      </c>
      <c r="W37">
        <v>165</v>
      </c>
      <c r="X37">
        <f t="shared" si="0"/>
        <v>0.5712438686367608</v>
      </c>
      <c r="Y37">
        <f t="shared" si="1"/>
        <v>0.61184332424497967</v>
      </c>
      <c r="Z37">
        <f t="shared" si="2"/>
        <v>0.70385567420379891</v>
      </c>
      <c r="AA37">
        <f t="shared" si="3"/>
        <v>0.59154359644087018</v>
      </c>
      <c r="AB37">
        <f t="shared" si="4"/>
        <v>0.65784949922438929</v>
      </c>
    </row>
    <row r="38" spans="1:28" x14ac:dyDescent="0.3">
      <c r="A38" s="1" t="s">
        <v>13</v>
      </c>
      <c r="B38" s="1" t="s">
        <v>19</v>
      </c>
      <c r="C38" s="1">
        <v>44368</v>
      </c>
      <c r="D38">
        <v>172</v>
      </c>
      <c r="E38" t="s">
        <v>0</v>
      </c>
      <c r="F38">
        <v>2</v>
      </c>
      <c r="G38">
        <v>94.610652551020394</v>
      </c>
      <c r="H38" t="s">
        <v>1</v>
      </c>
      <c r="I38">
        <v>2</v>
      </c>
      <c r="J38">
        <v>40.601487790697675</v>
      </c>
      <c r="K38">
        <v>0.42914287869225548</v>
      </c>
      <c r="L38" t="s">
        <v>2</v>
      </c>
      <c r="M38">
        <v>2</v>
      </c>
      <c r="N38">
        <v>64.215353519553076</v>
      </c>
      <c r="O38">
        <v>0.67873280426772098</v>
      </c>
      <c r="P38" t="s">
        <v>3</v>
      </c>
      <c r="Q38">
        <v>3</v>
      </c>
      <c r="R38">
        <v>57.886896165803087</v>
      </c>
      <c r="S38">
        <v>0.61184332424497967</v>
      </c>
      <c r="U38" t="s">
        <v>3</v>
      </c>
      <c r="V38" t="s">
        <v>19</v>
      </c>
      <c r="W38">
        <v>172</v>
      </c>
      <c r="X38">
        <f t="shared" si="0"/>
        <v>0.5712438686367608</v>
      </c>
      <c r="Y38">
        <f t="shared" si="1"/>
        <v>0.61184332424497967</v>
      </c>
      <c r="Z38">
        <f t="shared" si="2"/>
        <v>1.1174120081611734</v>
      </c>
      <c r="AA38">
        <f t="shared" si="3"/>
        <v>0.59154359644087018</v>
      </c>
      <c r="AB38">
        <f t="shared" si="4"/>
        <v>0.86462766620307652</v>
      </c>
    </row>
    <row r="39" spans="1:28" x14ac:dyDescent="0.3">
      <c r="A39" s="1" t="s">
        <v>13</v>
      </c>
      <c r="B39" s="1" t="s">
        <v>19</v>
      </c>
      <c r="C39" s="1">
        <v>44368</v>
      </c>
      <c r="D39">
        <v>172</v>
      </c>
      <c r="E39" t="s">
        <v>0</v>
      </c>
      <c r="F39">
        <v>3</v>
      </c>
      <c r="G39">
        <v>109.26217268041238</v>
      </c>
      <c r="H39" t="s">
        <v>1</v>
      </c>
      <c r="I39">
        <v>3</v>
      </c>
      <c r="J39">
        <v>38.231775371428576</v>
      </c>
      <c r="K39">
        <v>0.34990861369062315</v>
      </c>
      <c r="L39" t="s">
        <v>2</v>
      </c>
      <c r="M39">
        <v>3</v>
      </c>
      <c r="N39">
        <v>44.408158453608245</v>
      </c>
      <c r="O39">
        <v>0.4064367142277171</v>
      </c>
      <c r="P39" t="s">
        <v>3</v>
      </c>
      <c r="Q39">
        <v>3</v>
      </c>
      <c r="R39">
        <v>62.415346217616566</v>
      </c>
      <c r="S39">
        <v>0.5712438686367608</v>
      </c>
      <c r="U39" t="s">
        <v>3</v>
      </c>
      <c r="V39" t="s">
        <v>19</v>
      </c>
      <c r="W39">
        <v>172</v>
      </c>
      <c r="X39">
        <f t="shared" si="0"/>
        <v>0.5712438686367608</v>
      </c>
      <c r="Y39">
        <f t="shared" si="1"/>
        <v>0.8021405644231715</v>
      </c>
      <c r="Z39">
        <f t="shared" si="2"/>
        <v>1.1174120081611734</v>
      </c>
      <c r="AA39">
        <f t="shared" si="3"/>
        <v>0.68669221652996615</v>
      </c>
      <c r="AB39">
        <f t="shared" si="4"/>
        <v>0.95977628629217238</v>
      </c>
    </row>
    <row r="40" spans="1:28" x14ac:dyDescent="0.3">
      <c r="A40" s="1" t="s">
        <v>14</v>
      </c>
      <c r="B40" s="1" t="s">
        <v>22</v>
      </c>
      <c r="C40" s="1">
        <v>44368</v>
      </c>
      <c r="D40">
        <v>172</v>
      </c>
      <c r="E40" t="s">
        <v>0</v>
      </c>
      <c r="F40">
        <v>1</v>
      </c>
      <c r="G40">
        <v>1.6843452380952377</v>
      </c>
      <c r="H40" t="s">
        <v>1</v>
      </c>
      <c r="I40">
        <v>1</v>
      </c>
      <c r="J40">
        <v>3.3185251396648052</v>
      </c>
      <c r="K40">
        <v>1.970216713657587</v>
      </c>
      <c r="L40" t="s">
        <v>2</v>
      </c>
      <c r="M40">
        <v>1</v>
      </c>
      <c r="N40">
        <v>0.96845337078651728</v>
      </c>
      <c r="O40">
        <v>0.57497319960467519</v>
      </c>
      <c r="P40" t="s">
        <v>3</v>
      </c>
      <c r="Q40">
        <v>1</v>
      </c>
      <c r="R40">
        <v>1.8821075949367092</v>
      </c>
      <c r="S40">
        <v>1.1174120081611734</v>
      </c>
      <c r="U40" t="s">
        <v>3</v>
      </c>
      <c r="V40" t="s">
        <v>22</v>
      </c>
      <c r="W40">
        <v>172</v>
      </c>
      <c r="X40">
        <f t="shared" si="0"/>
        <v>0.31138744511454824</v>
      </c>
      <c r="Y40">
        <f t="shared" si="1"/>
        <v>0.8021405644231715</v>
      </c>
      <c r="Z40">
        <f t="shared" si="2"/>
        <v>1.1174120081611734</v>
      </c>
      <c r="AA40">
        <f t="shared" si="3"/>
        <v>0.5567640047688599</v>
      </c>
      <c r="AB40">
        <f t="shared" si="4"/>
        <v>0.95977628629217238</v>
      </c>
    </row>
    <row r="41" spans="1:28" x14ac:dyDescent="0.3">
      <c r="A41" s="1" t="s">
        <v>14</v>
      </c>
      <c r="B41" s="1" t="s">
        <v>22</v>
      </c>
      <c r="C41" s="1">
        <v>44368</v>
      </c>
      <c r="D41">
        <v>172</v>
      </c>
      <c r="E41" t="s">
        <v>0</v>
      </c>
      <c r="F41">
        <v>2</v>
      </c>
      <c r="G41">
        <v>3.2794213548387101</v>
      </c>
      <c r="H41" t="s">
        <v>1</v>
      </c>
      <c r="I41">
        <v>2</v>
      </c>
      <c r="J41">
        <v>3.2610785082872926</v>
      </c>
      <c r="K41">
        <v>0.9944066819823707</v>
      </c>
      <c r="L41" t="s">
        <v>2</v>
      </c>
      <c r="M41">
        <v>2</v>
      </c>
      <c r="N41">
        <v>0.97728965517241695</v>
      </c>
      <c r="O41">
        <v>0.29800673638062664</v>
      </c>
      <c r="P41" t="s">
        <v>3</v>
      </c>
      <c r="Q41">
        <v>2</v>
      </c>
      <c r="R41">
        <v>2.6305568965517248</v>
      </c>
      <c r="S41">
        <v>0.8021405644231715</v>
      </c>
      <c r="U41" t="s">
        <v>3</v>
      </c>
      <c r="V41" t="s">
        <v>22</v>
      </c>
      <c r="W41">
        <v>172</v>
      </c>
      <c r="X41">
        <f t="shared" si="0"/>
        <v>0.31138744511454824</v>
      </c>
      <c r="Y41">
        <f t="shared" si="1"/>
        <v>0.5567640047688599</v>
      </c>
      <c r="Z41">
        <f t="shared" si="2"/>
        <v>0.8021405644231715</v>
      </c>
      <c r="AA41">
        <f t="shared" si="3"/>
        <v>0.43407572494170404</v>
      </c>
      <c r="AB41">
        <f t="shared" si="4"/>
        <v>0.6794522845960157</v>
      </c>
    </row>
    <row r="42" spans="1:28" x14ac:dyDescent="0.3">
      <c r="A42" s="1" t="s">
        <v>14</v>
      </c>
      <c r="B42" s="1" t="s">
        <v>22</v>
      </c>
      <c r="C42" s="1">
        <v>44368</v>
      </c>
      <c r="D42">
        <v>172</v>
      </c>
      <c r="E42" t="s">
        <v>0</v>
      </c>
      <c r="F42">
        <v>3</v>
      </c>
      <c r="G42">
        <v>5.9260301775147939</v>
      </c>
      <c r="H42" t="s">
        <v>1</v>
      </c>
      <c r="I42">
        <v>3</v>
      </c>
      <c r="J42">
        <v>2.3031699386503082</v>
      </c>
      <c r="K42">
        <v>0.38865308978500529</v>
      </c>
      <c r="L42" t="s">
        <v>2</v>
      </c>
      <c r="M42">
        <v>3</v>
      </c>
      <c r="N42">
        <v>1.4820296511627915</v>
      </c>
      <c r="O42">
        <v>0.25008810396985054</v>
      </c>
      <c r="P42" t="s">
        <v>3</v>
      </c>
      <c r="Q42">
        <v>2</v>
      </c>
      <c r="R42">
        <v>1.8452913966480444</v>
      </c>
      <c r="S42">
        <v>0.31138744511454824</v>
      </c>
      <c r="U42" t="s">
        <v>3</v>
      </c>
      <c r="V42" t="s">
        <v>22</v>
      </c>
      <c r="W42">
        <v>172</v>
      </c>
      <c r="X42">
        <f t="shared" si="0"/>
        <v>0.31138744511454824</v>
      </c>
      <c r="Y42">
        <f t="shared" si="1"/>
        <v>0.58853595114716661</v>
      </c>
      <c r="Z42">
        <f t="shared" si="2"/>
        <v>0.86568445717978482</v>
      </c>
      <c r="AA42">
        <f t="shared" si="3"/>
        <v>0.4499616981308574</v>
      </c>
      <c r="AB42">
        <f t="shared" si="4"/>
        <v>0.72711020416347572</v>
      </c>
    </row>
    <row r="43" spans="1:28" x14ac:dyDescent="0.3">
      <c r="A43" s="1" t="s">
        <v>13</v>
      </c>
      <c r="B43" s="1" t="s">
        <v>20</v>
      </c>
      <c r="C43" s="1">
        <v>44368</v>
      </c>
      <c r="D43">
        <v>172</v>
      </c>
      <c r="E43" t="s">
        <v>0</v>
      </c>
      <c r="F43">
        <v>1</v>
      </c>
      <c r="G43">
        <v>34.545140740740742</v>
      </c>
      <c r="H43" t="s">
        <v>1</v>
      </c>
      <c r="I43">
        <v>1</v>
      </c>
      <c r="J43">
        <v>70.026322905027939</v>
      </c>
      <c r="K43">
        <v>2.0270961820816247</v>
      </c>
      <c r="L43" t="s">
        <v>2</v>
      </c>
      <c r="M43">
        <v>1</v>
      </c>
      <c r="N43">
        <v>70.974870352941167</v>
      </c>
      <c r="O43">
        <v>2.0545543839465994</v>
      </c>
      <c r="U43" t="s">
        <v>3</v>
      </c>
      <c r="V43" t="s">
        <v>20</v>
      </c>
      <c r="W43">
        <v>172</v>
      </c>
      <c r="X43">
        <f t="shared" si="0"/>
        <v>0.77497158496288965</v>
      </c>
      <c r="Y43">
        <f t="shared" si="1"/>
        <v>0.82032802107133729</v>
      </c>
      <c r="Z43">
        <f t="shared" si="2"/>
        <v>0.86568445717978482</v>
      </c>
      <c r="AA43">
        <f t="shared" si="3"/>
        <v>0.79764980301711341</v>
      </c>
      <c r="AB43">
        <f t="shared" si="4"/>
        <v>0.84300623912556105</v>
      </c>
    </row>
    <row r="44" spans="1:28" x14ac:dyDescent="0.3">
      <c r="A44" s="1" t="s">
        <v>13</v>
      </c>
      <c r="B44" s="1" t="s">
        <v>20</v>
      </c>
      <c r="C44" s="1">
        <v>44368</v>
      </c>
      <c r="D44">
        <v>172</v>
      </c>
      <c r="E44" t="s">
        <v>0</v>
      </c>
      <c r="F44">
        <v>2</v>
      </c>
      <c r="G44">
        <v>31.506871857142851</v>
      </c>
      <c r="H44" t="s">
        <v>1</v>
      </c>
      <c r="I44">
        <v>2</v>
      </c>
      <c r="J44">
        <v>74.775707486631006</v>
      </c>
      <c r="K44">
        <v>2.373314235246073</v>
      </c>
      <c r="L44" t="s">
        <v>2</v>
      </c>
      <c r="M44">
        <v>2</v>
      </c>
      <c r="N44">
        <v>96.476276510067137</v>
      </c>
      <c r="O44">
        <v>3.0620709332080271</v>
      </c>
      <c r="P44" t="s">
        <v>3</v>
      </c>
      <c r="Q44">
        <v>2</v>
      </c>
      <c r="R44">
        <v>27.275009261083749</v>
      </c>
      <c r="S44">
        <v>0.86568445717978482</v>
      </c>
      <c r="U44" t="s">
        <v>3</v>
      </c>
      <c r="V44" t="s">
        <v>20</v>
      </c>
      <c r="W44">
        <v>172</v>
      </c>
      <c r="X44">
        <f t="shared" si="0"/>
        <v>0.67453162964132229</v>
      </c>
      <c r="Y44">
        <f t="shared" si="1"/>
        <v>0.77497158496288965</v>
      </c>
      <c r="Z44">
        <f t="shared" si="2"/>
        <v>0.86568445717978482</v>
      </c>
      <c r="AA44">
        <f t="shared" si="3"/>
        <v>0.72475160730210597</v>
      </c>
      <c r="AB44">
        <f t="shared" si="4"/>
        <v>0.82032802107133729</v>
      </c>
    </row>
    <row r="45" spans="1:28" x14ac:dyDescent="0.3">
      <c r="A45" s="1" t="s">
        <v>13</v>
      </c>
      <c r="B45" s="1" t="s">
        <v>20</v>
      </c>
      <c r="C45" s="1">
        <v>44368</v>
      </c>
      <c r="D45">
        <v>172</v>
      </c>
      <c r="E45" t="s">
        <v>0</v>
      </c>
      <c r="F45">
        <v>3</v>
      </c>
      <c r="G45">
        <v>29.035804949494949</v>
      </c>
      <c r="H45" t="s">
        <v>1</v>
      </c>
      <c r="I45">
        <v>3</v>
      </c>
      <c r="J45">
        <v>80.296244134078208</v>
      </c>
      <c r="K45">
        <v>2.765421667274111</v>
      </c>
      <c r="L45" t="s">
        <v>2</v>
      </c>
      <c r="M45">
        <v>3</v>
      </c>
      <c r="N45">
        <v>63.204376129032255</v>
      </c>
      <c r="O45">
        <v>2.1767736847306391</v>
      </c>
      <c r="P45" t="s">
        <v>3</v>
      </c>
      <c r="Q45">
        <v>3</v>
      </c>
      <c r="R45">
        <v>22.501923782383418</v>
      </c>
      <c r="S45">
        <v>0.77497158496288965</v>
      </c>
      <c r="U45" t="s">
        <v>3</v>
      </c>
      <c r="V45" t="s">
        <v>20</v>
      </c>
      <c r="W45">
        <v>172</v>
      </c>
      <c r="X45">
        <f t="shared" si="0"/>
        <v>0.67453162964132229</v>
      </c>
      <c r="Y45">
        <f t="shared" si="1"/>
        <v>0.72475160730210597</v>
      </c>
      <c r="Z45">
        <f t="shared" si="2"/>
        <v>0.77497158496288965</v>
      </c>
      <c r="AA45">
        <f t="shared" si="3"/>
        <v>0.69964161847171413</v>
      </c>
      <c r="AB45">
        <f t="shared" si="4"/>
        <v>0.74986159613249781</v>
      </c>
    </row>
    <row r="46" spans="1:28" x14ac:dyDescent="0.3">
      <c r="A46" s="1" t="s">
        <v>14</v>
      </c>
      <c r="B46" s="1" t="s">
        <v>23</v>
      </c>
      <c r="C46" s="1">
        <v>44368</v>
      </c>
      <c r="D46">
        <v>172</v>
      </c>
      <c r="E46" t="s">
        <v>0</v>
      </c>
      <c r="F46">
        <v>2</v>
      </c>
      <c r="G46">
        <v>8.0957033888888912</v>
      </c>
      <c r="H46" t="s">
        <v>1</v>
      </c>
      <c r="I46">
        <v>2</v>
      </c>
      <c r="J46">
        <v>5.3130585106382986</v>
      </c>
      <c r="K46">
        <v>0.6562812711160233</v>
      </c>
      <c r="P46" t="s">
        <v>3</v>
      </c>
      <c r="Q46">
        <v>2</v>
      </c>
      <c r="R46">
        <v>5.4608079999999992</v>
      </c>
      <c r="S46">
        <v>0.67453162964132229</v>
      </c>
      <c r="U46" t="s">
        <v>3</v>
      </c>
      <c r="V46" t="s">
        <v>23</v>
      </c>
      <c r="W46">
        <v>172</v>
      </c>
      <c r="X46">
        <f>MIN(S46:S47)</f>
        <v>0.67453162964132229</v>
      </c>
      <c r="Y46">
        <f>MEDIAN(S46:S47)</f>
        <v>0.67453162964132229</v>
      </c>
      <c r="Z46">
        <f>MAX(S46:S47)</f>
        <v>0.67453162964132229</v>
      </c>
      <c r="AA46">
        <f>_xlfn.PERCENTILE.INC(S46:S47,0.25)</f>
        <v>0.67453162964132229</v>
      </c>
      <c r="AB46">
        <f>_xlfn.PERCENTILE.INC(S46:S47,0.75)</f>
        <v>0.67453162964132229</v>
      </c>
    </row>
    <row r="47" spans="1:28" x14ac:dyDescent="0.3">
      <c r="A47" s="1" t="s">
        <v>14</v>
      </c>
      <c r="B47" s="1" t="s">
        <v>23</v>
      </c>
      <c r="C47" s="1">
        <v>44368</v>
      </c>
      <c r="D47">
        <v>172</v>
      </c>
      <c r="E47" t="s">
        <v>0</v>
      </c>
      <c r="F47">
        <v>3</v>
      </c>
      <c r="G47">
        <v>7.033434166666666</v>
      </c>
      <c r="H47" t="s">
        <v>1</v>
      </c>
      <c r="I47">
        <v>3</v>
      </c>
      <c r="J47">
        <v>9.4538689690721647</v>
      </c>
      <c r="K47">
        <v>1.3441327159748775</v>
      </c>
      <c r="L47" t="s">
        <v>2</v>
      </c>
      <c r="M47">
        <v>3</v>
      </c>
      <c r="N47">
        <v>6.3401247159090914</v>
      </c>
      <c r="O47">
        <v>0.90142660977146072</v>
      </c>
      <c r="U47" t="s">
        <v>3</v>
      </c>
      <c r="V47" t="s">
        <v>23</v>
      </c>
      <c r="W47">
        <v>172</v>
      </c>
      <c r="X47">
        <f t="shared" si="0"/>
        <v>1.0585912746701083</v>
      </c>
      <c r="Y47">
        <f t="shared" si="1"/>
        <v>1.1030034302775946</v>
      </c>
      <c r="Z47">
        <f t="shared" si="2"/>
        <v>1.1474155858850807</v>
      </c>
      <c r="AA47">
        <f t="shared" si="3"/>
        <v>1.0807973524738514</v>
      </c>
      <c r="AB47">
        <f t="shared" si="4"/>
        <v>1.1252095080813376</v>
      </c>
    </row>
    <row r="48" spans="1:28" x14ac:dyDescent="0.3">
      <c r="A48" s="1" t="s">
        <v>13</v>
      </c>
      <c r="B48" s="1" t="s">
        <v>21</v>
      </c>
      <c r="C48" s="1">
        <v>44368</v>
      </c>
      <c r="D48">
        <v>172</v>
      </c>
      <c r="E48" t="s">
        <v>0</v>
      </c>
      <c r="F48">
        <v>1</v>
      </c>
      <c r="G48">
        <v>46.350172361809044</v>
      </c>
      <c r="H48" t="s">
        <v>1</v>
      </c>
      <c r="I48">
        <v>1</v>
      </c>
      <c r="J48">
        <v>4.6441556122448979</v>
      </c>
      <c r="K48">
        <v>0.10019715948395315</v>
      </c>
      <c r="L48" t="s">
        <v>2</v>
      </c>
      <c r="M48">
        <v>1</v>
      </c>
      <c r="N48">
        <v>7.0550171428571362</v>
      </c>
      <c r="O48">
        <v>0.15221123856424382</v>
      </c>
      <c r="P48" t="s">
        <v>3</v>
      </c>
      <c r="Q48">
        <v>1</v>
      </c>
      <c r="R48">
        <v>49.065888041666661</v>
      </c>
      <c r="S48">
        <v>1.0585912746701083</v>
      </c>
      <c r="U48" t="s">
        <v>3</v>
      </c>
      <c r="V48" t="s">
        <v>21</v>
      </c>
      <c r="W48">
        <v>172</v>
      </c>
      <c r="X48">
        <f t="shared" si="0"/>
        <v>0.83842942925766228</v>
      </c>
      <c r="Y48">
        <f t="shared" si="1"/>
        <v>1.0585912746701083</v>
      </c>
      <c r="Z48">
        <f t="shared" si="2"/>
        <v>1.1474155858850807</v>
      </c>
      <c r="AA48">
        <f t="shared" si="3"/>
        <v>0.94851035196388533</v>
      </c>
      <c r="AB48">
        <f t="shared" si="4"/>
        <v>1.1030034302775946</v>
      </c>
    </row>
    <row r="49" spans="1:28" x14ac:dyDescent="0.3">
      <c r="A49" s="1" t="s">
        <v>13</v>
      </c>
      <c r="B49" s="1" t="s">
        <v>21</v>
      </c>
      <c r="C49" s="1">
        <v>44368</v>
      </c>
      <c r="D49">
        <v>172</v>
      </c>
      <c r="E49" t="s">
        <v>0</v>
      </c>
      <c r="F49">
        <v>2</v>
      </c>
      <c r="G49">
        <v>46.82662761904762</v>
      </c>
      <c r="H49" t="s">
        <v>1</v>
      </c>
      <c r="I49">
        <v>2</v>
      </c>
      <c r="J49">
        <v>2.9467561855670099</v>
      </c>
      <c r="K49">
        <v>6.2929071244249943E-2</v>
      </c>
      <c r="L49" t="s">
        <v>2</v>
      </c>
      <c r="M49">
        <v>2</v>
      </c>
      <c r="N49">
        <v>-0.384805970149254</v>
      </c>
      <c r="O49">
        <v>-8.2176742104897362E-3</v>
      </c>
      <c r="P49" t="s">
        <v>3</v>
      </c>
      <c r="Q49">
        <v>2</v>
      </c>
      <c r="R49">
        <v>53.729602364532028</v>
      </c>
      <c r="S49">
        <v>1.1474155858850807</v>
      </c>
      <c r="U49" t="s">
        <v>3</v>
      </c>
      <c r="V49" t="s">
        <v>21</v>
      </c>
      <c r="W49">
        <v>172</v>
      </c>
      <c r="X49">
        <f t="shared" si="0"/>
        <v>0.50031829648616488</v>
      </c>
      <c r="Y49">
        <f t="shared" si="1"/>
        <v>0.83842942925766228</v>
      </c>
      <c r="Z49">
        <f t="shared" si="2"/>
        <v>1.1474155858850807</v>
      </c>
      <c r="AA49">
        <f t="shared" si="3"/>
        <v>0.66937386287191358</v>
      </c>
      <c r="AB49">
        <f t="shared" si="4"/>
        <v>0.99292250757137146</v>
      </c>
    </row>
    <row r="50" spans="1:28" x14ac:dyDescent="0.3">
      <c r="A50" s="1" t="s">
        <v>13</v>
      </c>
      <c r="B50" s="1" t="s">
        <v>21</v>
      </c>
      <c r="C50" s="1">
        <v>44368</v>
      </c>
      <c r="D50">
        <v>172</v>
      </c>
      <c r="E50" t="s">
        <v>0</v>
      </c>
      <c r="F50">
        <v>3</v>
      </c>
      <c r="G50">
        <v>56.184417837837827</v>
      </c>
      <c r="H50" t="s">
        <v>1</v>
      </c>
      <c r="I50">
        <v>3</v>
      </c>
      <c r="J50">
        <v>9.6519528205128218</v>
      </c>
      <c r="K50">
        <v>0.17179056386008579</v>
      </c>
      <c r="L50" t="s">
        <v>2</v>
      </c>
      <c r="M50">
        <v>3</v>
      </c>
      <c r="N50">
        <v>6.2273778378378379</v>
      </c>
      <c r="O50">
        <v>0.11083816612306273</v>
      </c>
      <c r="P50" t="s">
        <v>3</v>
      </c>
      <c r="Q50">
        <v>3</v>
      </c>
      <c r="R50">
        <v>47.10666938095239</v>
      </c>
      <c r="S50">
        <v>0.83842942925766228</v>
      </c>
      <c r="U50" t="s">
        <v>3</v>
      </c>
      <c r="V50" t="s">
        <v>21</v>
      </c>
      <c r="W50">
        <v>172</v>
      </c>
      <c r="X50">
        <f t="shared" si="0"/>
        <v>0.4103880242032919</v>
      </c>
      <c r="Y50">
        <f t="shared" si="1"/>
        <v>0.50031829648616488</v>
      </c>
      <c r="Z50">
        <f t="shared" si="2"/>
        <v>0.83842942925766228</v>
      </c>
      <c r="AA50">
        <f t="shared" si="3"/>
        <v>0.45535316034472839</v>
      </c>
      <c r="AB50">
        <f t="shared" si="4"/>
        <v>0.66937386287191358</v>
      </c>
    </row>
    <row r="51" spans="1:28" x14ac:dyDescent="0.3">
      <c r="A51" s="1" t="s">
        <v>14</v>
      </c>
      <c r="B51" s="1" t="s">
        <v>24</v>
      </c>
      <c r="C51" s="1">
        <v>44368</v>
      </c>
      <c r="D51">
        <v>172</v>
      </c>
      <c r="E51" t="s">
        <v>0</v>
      </c>
      <c r="F51">
        <v>1</v>
      </c>
      <c r="G51">
        <v>6.6035483233532926</v>
      </c>
      <c r="H51" t="s">
        <v>1</v>
      </c>
      <c r="I51">
        <v>1</v>
      </c>
      <c r="J51">
        <v>1.2016613924050601</v>
      </c>
      <c r="K51">
        <v>0.18197207524860731</v>
      </c>
      <c r="L51" t="s">
        <v>2</v>
      </c>
      <c r="M51">
        <v>1</v>
      </c>
      <c r="N51">
        <v>2.819238928571429</v>
      </c>
      <c r="O51">
        <v>0.4269278864214951</v>
      </c>
      <c r="P51" t="s">
        <v>3</v>
      </c>
      <c r="Q51">
        <v>1</v>
      </c>
      <c r="R51">
        <v>3.3038760479041898</v>
      </c>
      <c r="S51">
        <v>0.50031829648616488</v>
      </c>
      <c r="U51" t="s">
        <v>3</v>
      </c>
      <c r="V51" t="s">
        <v>24</v>
      </c>
      <c r="W51">
        <v>172</v>
      </c>
      <c r="X51">
        <f t="shared" si="0"/>
        <v>0.4103880242032919</v>
      </c>
      <c r="Y51">
        <f t="shared" si="1"/>
        <v>0.50031829648616488</v>
      </c>
      <c r="Z51">
        <f t="shared" si="2"/>
        <v>1.5763403200325423</v>
      </c>
      <c r="AA51">
        <f t="shared" si="3"/>
        <v>0.45535316034472839</v>
      </c>
      <c r="AB51">
        <f t="shared" si="4"/>
        <v>1.0383293082593537</v>
      </c>
    </row>
    <row r="52" spans="1:28" x14ac:dyDescent="0.3">
      <c r="A52" s="1" t="s">
        <v>14</v>
      </c>
      <c r="B52" s="1" t="s">
        <v>24</v>
      </c>
      <c r="C52" s="1">
        <v>44368</v>
      </c>
      <c r="D52">
        <v>172</v>
      </c>
      <c r="E52" t="s">
        <v>0</v>
      </c>
      <c r="F52">
        <v>2</v>
      </c>
      <c r="G52">
        <v>5.8241266666666665</v>
      </c>
      <c r="H52" t="s">
        <v>1</v>
      </c>
      <c r="I52">
        <v>2</v>
      </c>
      <c r="J52">
        <v>3.5320922222222211</v>
      </c>
      <c r="K52">
        <v>0.60645868889451027</v>
      </c>
      <c r="L52" t="s">
        <v>2</v>
      </c>
      <c r="M52">
        <v>2</v>
      </c>
      <c r="N52">
        <v>5.6644398773006133</v>
      </c>
      <c r="O52">
        <v>0.97258184814557835</v>
      </c>
      <c r="P52" t="s">
        <v>3</v>
      </c>
      <c r="Q52">
        <v>2</v>
      </c>
      <c r="R52">
        <v>2.3901518354430378</v>
      </c>
      <c r="S52">
        <v>0.4103880242032919</v>
      </c>
      <c r="U52" t="s">
        <v>3</v>
      </c>
      <c r="V52" t="s">
        <v>24</v>
      </c>
      <c r="W52">
        <v>172</v>
      </c>
      <c r="X52">
        <f t="shared" si="0"/>
        <v>0.4103880242032919</v>
      </c>
      <c r="Y52">
        <f t="shared" si="1"/>
        <v>1.0449491470932606</v>
      </c>
      <c r="Z52">
        <f t="shared" si="2"/>
        <v>1.5763403200325423</v>
      </c>
      <c r="AA52">
        <f t="shared" si="3"/>
        <v>0.7276685856482763</v>
      </c>
      <c r="AB52">
        <f t="shared" si="4"/>
        <v>1.3106447335629015</v>
      </c>
    </row>
    <row r="53" spans="1:28" x14ac:dyDescent="0.3">
      <c r="A53" s="1" t="s">
        <v>14</v>
      </c>
      <c r="B53" s="1" t="s">
        <v>24</v>
      </c>
      <c r="C53" s="1">
        <v>44368</v>
      </c>
      <c r="D53">
        <v>172</v>
      </c>
      <c r="E53" t="s">
        <v>0</v>
      </c>
      <c r="F53">
        <v>3</v>
      </c>
      <c r="G53">
        <v>4.1486520000000002</v>
      </c>
      <c r="H53" t="s">
        <v>1</v>
      </c>
      <c r="I53">
        <v>3</v>
      </c>
      <c r="J53">
        <v>4.7763904191616753</v>
      </c>
      <c r="K53">
        <v>1.1513114185431015</v>
      </c>
      <c r="L53" t="s">
        <v>2</v>
      </c>
      <c r="M53">
        <v>3</v>
      </c>
      <c r="N53">
        <v>6.8255836158192098</v>
      </c>
      <c r="O53">
        <v>1.6452533535758627</v>
      </c>
      <c r="P53" t="s">
        <v>3</v>
      </c>
      <c r="Q53">
        <v>3</v>
      </c>
      <c r="R53">
        <v>6.5396874213836469</v>
      </c>
      <c r="S53">
        <v>1.5763403200325423</v>
      </c>
      <c r="U53" t="s">
        <v>3</v>
      </c>
      <c r="V53" t="s">
        <v>24</v>
      </c>
      <c r="W53">
        <v>172</v>
      </c>
      <c r="X53">
        <f t="shared" si="0"/>
        <v>1.0449491470932606</v>
      </c>
      <c r="Y53">
        <f t="shared" si="1"/>
        <v>1.1916023818294987</v>
      </c>
      <c r="Z53">
        <f t="shared" si="2"/>
        <v>1.5763403200325423</v>
      </c>
      <c r="AA53">
        <f t="shared" si="3"/>
        <v>1.1182757644613797</v>
      </c>
      <c r="AB53">
        <f t="shared" si="4"/>
        <v>1.3839713509310205</v>
      </c>
    </row>
    <row r="54" spans="1:28" x14ac:dyDescent="0.3">
      <c r="A54" s="1" t="s">
        <v>13</v>
      </c>
      <c r="B54" s="1" t="s">
        <v>19</v>
      </c>
      <c r="C54" s="1">
        <v>44375</v>
      </c>
      <c r="D54">
        <v>179</v>
      </c>
      <c r="E54" t="s">
        <v>0</v>
      </c>
      <c r="F54">
        <v>1</v>
      </c>
      <c r="G54">
        <v>51.423805789473676</v>
      </c>
      <c r="H54" t="s">
        <v>1</v>
      </c>
      <c r="I54">
        <v>1</v>
      </c>
      <c r="J54">
        <v>43.95875459183673</v>
      </c>
      <c r="K54">
        <v>0.85483277476197561</v>
      </c>
      <c r="L54" t="s">
        <v>2</v>
      </c>
      <c r="M54">
        <v>1</v>
      </c>
      <c r="N54">
        <v>55.052461999999998</v>
      </c>
      <c r="O54">
        <v>1.0705637428972459</v>
      </c>
      <c r="P54" t="s">
        <v>3</v>
      </c>
      <c r="Q54">
        <v>1</v>
      </c>
      <c r="R54">
        <v>53.735261999999992</v>
      </c>
      <c r="S54">
        <v>1.0449491470932606</v>
      </c>
      <c r="U54" t="s">
        <v>3</v>
      </c>
      <c r="V54" t="s">
        <v>19</v>
      </c>
      <c r="W54">
        <v>172</v>
      </c>
      <c r="X54">
        <f t="shared" si="0"/>
        <v>0.94610693982718974</v>
      </c>
      <c r="Y54">
        <f t="shared" si="1"/>
        <v>1.0449491470932606</v>
      </c>
      <c r="Z54">
        <f t="shared" si="2"/>
        <v>1.1916023818294987</v>
      </c>
      <c r="AA54">
        <f t="shared" si="3"/>
        <v>0.99552804346022516</v>
      </c>
      <c r="AB54">
        <f t="shared" si="4"/>
        <v>1.1182757644613797</v>
      </c>
    </row>
    <row r="55" spans="1:28" x14ac:dyDescent="0.3">
      <c r="A55" s="1" t="s">
        <v>13</v>
      </c>
      <c r="B55" s="1" t="s">
        <v>19</v>
      </c>
      <c r="C55" s="1">
        <v>44375</v>
      </c>
      <c r="D55">
        <v>179</v>
      </c>
      <c r="E55" t="s">
        <v>0</v>
      </c>
      <c r="F55">
        <v>2</v>
      </c>
      <c r="G55">
        <v>42.871552020202024</v>
      </c>
      <c r="H55" t="s">
        <v>1</v>
      </c>
      <c r="I55">
        <v>2</v>
      </c>
      <c r="J55">
        <v>51.657548743718586</v>
      </c>
      <c r="K55">
        <v>1.204937687335798</v>
      </c>
      <c r="L55" t="s">
        <v>2</v>
      </c>
      <c r="M55">
        <v>2</v>
      </c>
      <c r="N55">
        <v>52.140343564356421</v>
      </c>
      <c r="O55">
        <v>1.2161991135703867</v>
      </c>
      <c r="P55" t="s">
        <v>3</v>
      </c>
      <c r="Q55">
        <v>2</v>
      </c>
      <c r="R55">
        <v>51.085843499999989</v>
      </c>
      <c r="S55">
        <v>1.1916023818294987</v>
      </c>
      <c r="U55" t="s">
        <v>3</v>
      </c>
      <c r="V55" t="s">
        <v>19</v>
      </c>
      <c r="W55">
        <v>179</v>
      </c>
      <c r="X55">
        <f t="shared" si="0"/>
        <v>0.94610693982718974</v>
      </c>
      <c r="Y55">
        <f t="shared" si="1"/>
        <v>1.1414618775762457</v>
      </c>
      <c r="Z55">
        <f t="shared" si="2"/>
        <v>1.1916023818294987</v>
      </c>
      <c r="AA55">
        <f t="shared" si="3"/>
        <v>1.0437844087017178</v>
      </c>
      <c r="AB55">
        <f t="shared" si="4"/>
        <v>1.1665321297028721</v>
      </c>
    </row>
    <row r="56" spans="1:28" x14ac:dyDescent="0.3">
      <c r="A56" s="1" t="s">
        <v>13</v>
      </c>
      <c r="B56" s="1" t="s">
        <v>19</v>
      </c>
      <c r="C56" s="1">
        <v>44375</v>
      </c>
      <c r="D56">
        <v>179</v>
      </c>
      <c r="E56" t="s">
        <v>0</v>
      </c>
      <c r="F56">
        <v>3</v>
      </c>
      <c r="G56">
        <v>48.500331794871791</v>
      </c>
      <c r="H56" t="s">
        <v>1</v>
      </c>
      <c r="I56">
        <v>3</v>
      </c>
      <c r="J56">
        <v>46.721714507772013</v>
      </c>
      <c r="K56">
        <v>0.96332772949631984</v>
      </c>
      <c r="L56" t="s">
        <v>2</v>
      </c>
      <c r="M56">
        <v>3</v>
      </c>
      <c r="N56">
        <v>55.259133500000011</v>
      </c>
      <c r="O56">
        <v>1.1393557828369922</v>
      </c>
      <c r="P56" t="s">
        <v>3</v>
      </c>
      <c r="Q56">
        <v>3</v>
      </c>
      <c r="R56">
        <v>45.886500495049503</v>
      </c>
      <c r="S56">
        <v>0.94610693982718974</v>
      </c>
      <c r="U56" t="s">
        <v>3</v>
      </c>
      <c r="V56" t="s">
        <v>19</v>
      </c>
      <c r="W56">
        <v>179</v>
      </c>
      <c r="X56">
        <f t="shared" si="0"/>
        <v>0.94610693982718974</v>
      </c>
      <c r="Y56">
        <f t="shared" si="1"/>
        <v>0.98679539123250237</v>
      </c>
      <c r="Z56">
        <f t="shared" si="2"/>
        <v>1.1414618775762457</v>
      </c>
      <c r="AA56">
        <f t="shared" si="3"/>
        <v>0.966451165529846</v>
      </c>
      <c r="AB56">
        <f t="shared" si="4"/>
        <v>1.0641286344043741</v>
      </c>
    </row>
    <row r="57" spans="1:28" x14ac:dyDescent="0.3">
      <c r="A57" s="1" t="s">
        <v>14</v>
      </c>
      <c r="B57" s="1" t="s">
        <v>22</v>
      </c>
      <c r="C57" s="1">
        <v>44375</v>
      </c>
      <c r="D57">
        <v>179</v>
      </c>
      <c r="E57" t="s">
        <v>0</v>
      </c>
      <c r="F57">
        <v>1</v>
      </c>
      <c r="G57">
        <v>22.57344074074074</v>
      </c>
      <c r="H57" t="s">
        <v>1</v>
      </c>
      <c r="I57">
        <v>1</v>
      </c>
      <c r="J57">
        <v>28.566529797979793</v>
      </c>
      <c r="K57">
        <v>1.2654929359715497</v>
      </c>
      <c r="L57" t="s">
        <v>2</v>
      </c>
      <c r="M57">
        <v>1</v>
      </c>
      <c r="N57">
        <v>24.536484615384609</v>
      </c>
      <c r="O57">
        <v>1.0869625458161081</v>
      </c>
      <c r="P57" t="s">
        <v>3</v>
      </c>
      <c r="Q57">
        <v>1</v>
      </c>
      <c r="R57">
        <v>25.766722051282041</v>
      </c>
      <c r="S57">
        <v>1.1414618775762457</v>
      </c>
      <c r="U57" t="s">
        <v>3</v>
      </c>
      <c r="V57" t="s">
        <v>22</v>
      </c>
      <c r="W57">
        <v>179</v>
      </c>
      <c r="X57">
        <f t="shared" si="0"/>
        <v>0.98679539123250237</v>
      </c>
      <c r="Y57">
        <f t="shared" si="1"/>
        <v>1.0141733309337471</v>
      </c>
      <c r="Z57">
        <f t="shared" si="2"/>
        <v>1.1414618775762457</v>
      </c>
      <c r="AA57">
        <f t="shared" si="3"/>
        <v>1.0004843610831247</v>
      </c>
      <c r="AB57">
        <f t="shared" si="4"/>
        <v>1.0778176042549963</v>
      </c>
    </row>
    <row r="58" spans="1:28" x14ac:dyDescent="0.3">
      <c r="A58" s="1" t="s">
        <v>14</v>
      </c>
      <c r="B58" s="1" t="s">
        <v>22</v>
      </c>
      <c r="C58" s="1">
        <v>44375</v>
      </c>
      <c r="D58">
        <v>179</v>
      </c>
      <c r="E58" t="s">
        <v>0</v>
      </c>
      <c r="F58">
        <v>2</v>
      </c>
      <c r="G58">
        <v>26.379854634146337</v>
      </c>
      <c r="H58" t="s">
        <v>1</v>
      </c>
      <c r="I58">
        <v>2</v>
      </c>
      <c r="J58">
        <v>24.271904999999993</v>
      </c>
      <c r="K58">
        <v>0.92009244693040149</v>
      </c>
      <c r="L58" t="s">
        <v>2</v>
      </c>
      <c r="M58">
        <v>2</v>
      </c>
      <c r="N58">
        <v>24.359220500000003</v>
      </c>
      <c r="O58">
        <v>0.92340237798237124</v>
      </c>
      <c r="P58" t="s">
        <v>3</v>
      </c>
      <c r="Q58">
        <v>2</v>
      </c>
      <c r="R58">
        <v>26.031518974358974</v>
      </c>
      <c r="S58">
        <v>0.98679539123250237</v>
      </c>
      <c r="U58" t="s">
        <v>3</v>
      </c>
      <c r="V58" t="s">
        <v>22</v>
      </c>
      <c r="W58">
        <v>179</v>
      </c>
      <c r="X58">
        <f t="shared" si="0"/>
        <v>0.98679539123250237</v>
      </c>
      <c r="Y58">
        <f t="shared" si="1"/>
        <v>1.0141733309337471</v>
      </c>
      <c r="Z58">
        <f t="shared" si="2"/>
        <v>1.5851454739032744</v>
      </c>
      <c r="AA58">
        <f t="shared" si="3"/>
        <v>1.0004843610831247</v>
      </c>
      <c r="AB58">
        <f t="shared" si="4"/>
        <v>1.2996594024185106</v>
      </c>
    </row>
    <row r="59" spans="1:28" x14ac:dyDescent="0.3">
      <c r="A59" s="1" t="s">
        <v>14</v>
      </c>
      <c r="B59" s="1" t="s">
        <v>22</v>
      </c>
      <c r="C59" s="1">
        <v>44375</v>
      </c>
      <c r="D59">
        <v>179</v>
      </c>
      <c r="E59" t="s">
        <v>0</v>
      </c>
      <c r="F59">
        <v>3</v>
      </c>
      <c r="G59">
        <v>20.768270531400969</v>
      </c>
      <c r="H59" t="s">
        <v>1</v>
      </c>
      <c r="I59">
        <v>3</v>
      </c>
      <c r="J59">
        <v>23.640523157894741</v>
      </c>
      <c r="K59">
        <v>1.138300039098153</v>
      </c>
      <c r="L59" t="s">
        <v>2</v>
      </c>
      <c r="M59">
        <v>3</v>
      </c>
      <c r="N59">
        <v>26.284935025380712</v>
      </c>
      <c r="O59">
        <v>1.2656294603654512</v>
      </c>
      <c r="P59" t="s">
        <v>3</v>
      </c>
      <c r="Q59">
        <v>3</v>
      </c>
      <c r="R59">
        <v>21.062626102564103</v>
      </c>
      <c r="S59">
        <v>1.0141733309337471</v>
      </c>
      <c r="U59" t="s">
        <v>3</v>
      </c>
      <c r="V59" t="s">
        <v>22</v>
      </c>
      <c r="W59">
        <v>179</v>
      </c>
      <c r="X59">
        <f t="shared" si="0"/>
        <v>1.0141733309337471</v>
      </c>
      <c r="Y59">
        <f t="shared" si="1"/>
        <v>1.1286730767537929</v>
      </c>
      <c r="Z59">
        <f t="shared" si="2"/>
        <v>1.5851454739032744</v>
      </c>
      <c r="AA59">
        <f t="shared" si="3"/>
        <v>1.0714232038437701</v>
      </c>
      <c r="AB59">
        <f t="shared" si="4"/>
        <v>1.3569092753285337</v>
      </c>
    </row>
    <row r="60" spans="1:28" x14ac:dyDescent="0.3">
      <c r="A60" s="1" t="s">
        <v>14</v>
      </c>
      <c r="B60" s="1" t="s">
        <v>23</v>
      </c>
      <c r="C60" s="1">
        <v>44375</v>
      </c>
      <c r="D60">
        <v>179</v>
      </c>
      <c r="E60" t="s">
        <v>0</v>
      </c>
      <c r="F60">
        <v>1</v>
      </c>
      <c r="G60">
        <v>10.03214564102564</v>
      </c>
      <c r="H60" t="s">
        <v>1</v>
      </c>
      <c r="I60">
        <v>1</v>
      </c>
      <c r="J60">
        <v>10.429370499999999</v>
      </c>
      <c r="K60">
        <v>1.0395952045741781</v>
      </c>
      <c r="L60" t="s">
        <v>2</v>
      </c>
      <c r="M60">
        <v>1</v>
      </c>
      <c r="N60">
        <v>8.8654106280193279</v>
      </c>
      <c r="O60">
        <v>0.8837003513749796</v>
      </c>
      <c r="P60" t="s">
        <v>3</v>
      </c>
      <c r="Q60">
        <v>1</v>
      </c>
      <c r="R60">
        <v>15.902410256410256</v>
      </c>
      <c r="S60">
        <v>1.5851454739032744</v>
      </c>
      <c r="U60" t="s">
        <v>3</v>
      </c>
      <c r="V60" t="s">
        <v>23</v>
      </c>
      <c r="W60">
        <v>179</v>
      </c>
      <c r="X60">
        <f t="shared" si="0"/>
        <v>1.1286730767537929</v>
      </c>
      <c r="Y60">
        <f t="shared" si="1"/>
        <v>1.247069631270969</v>
      </c>
      <c r="Z60">
        <f t="shared" si="2"/>
        <v>1.5851454739032744</v>
      </c>
      <c r="AA60">
        <f t="shared" si="3"/>
        <v>1.1878713540123811</v>
      </c>
      <c r="AB60">
        <f t="shared" si="4"/>
        <v>1.4161075525871216</v>
      </c>
    </row>
    <row r="61" spans="1:28" x14ac:dyDescent="0.3">
      <c r="A61" s="1" t="s">
        <v>14</v>
      </c>
      <c r="B61" s="1" t="s">
        <v>23</v>
      </c>
      <c r="C61" s="1">
        <v>44375</v>
      </c>
      <c r="D61">
        <v>179</v>
      </c>
      <c r="E61" t="s">
        <v>0</v>
      </c>
      <c r="F61">
        <v>2</v>
      </c>
      <c r="G61">
        <v>10.205501025641022</v>
      </c>
      <c r="H61" t="s">
        <v>1</v>
      </c>
      <c r="I61">
        <v>2</v>
      </c>
      <c r="J61">
        <v>15.289294527363184</v>
      </c>
      <c r="K61">
        <v>1.4981424712955573</v>
      </c>
      <c r="L61" t="s">
        <v>2</v>
      </c>
      <c r="M61">
        <v>2</v>
      </c>
      <c r="N61">
        <v>12.0501135</v>
      </c>
      <c r="O61">
        <v>1.1807468805034111</v>
      </c>
      <c r="P61" t="s">
        <v>3</v>
      </c>
      <c r="Q61">
        <v>2</v>
      </c>
      <c r="R61">
        <v>11.518674242424241</v>
      </c>
      <c r="S61">
        <v>1.1286730767537929</v>
      </c>
      <c r="U61" t="s">
        <v>3</v>
      </c>
      <c r="V61" t="s">
        <v>23</v>
      </c>
      <c r="W61">
        <v>179</v>
      </c>
      <c r="X61">
        <f t="shared" si="0"/>
        <v>0.93056295428404645</v>
      </c>
      <c r="Y61">
        <f t="shared" si="1"/>
        <v>1.1286730767537929</v>
      </c>
      <c r="Z61">
        <f t="shared" si="2"/>
        <v>1.247069631270969</v>
      </c>
      <c r="AA61">
        <f t="shared" si="3"/>
        <v>1.0296180155189196</v>
      </c>
      <c r="AB61">
        <f t="shared" si="4"/>
        <v>1.1878713540123811</v>
      </c>
    </row>
    <row r="62" spans="1:28" x14ac:dyDescent="0.3">
      <c r="A62" s="1" t="s">
        <v>14</v>
      </c>
      <c r="B62" s="1" t="s">
        <v>23</v>
      </c>
      <c r="C62" s="1">
        <v>44375</v>
      </c>
      <c r="D62">
        <v>179</v>
      </c>
      <c r="E62" t="s">
        <v>0</v>
      </c>
      <c r="F62">
        <v>3</v>
      </c>
      <c r="G62">
        <v>9.7782230392156873</v>
      </c>
      <c r="H62" t="s">
        <v>1</v>
      </c>
      <c r="I62">
        <v>3</v>
      </c>
      <c r="J62">
        <v>15.690484951456313</v>
      </c>
      <c r="K62">
        <v>1.6046356161573962</v>
      </c>
      <c r="L62" t="s">
        <v>2</v>
      </c>
      <c r="M62">
        <v>3</v>
      </c>
      <c r="N62">
        <v>12.063071359223301</v>
      </c>
      <c r="O62">
        <v>1.2336670283388096</v>
      </c>
      <c r="P62" t="s">
        <v>3</v>
      </c>
      <c r="Q62">
        <v>3</v>
      </c>
      <c r="R62">
        <v>12.194125000000001</v>
      </c>
      <c r="S62">
        <v>1.247069631270969</v>
      </c>
      <c r="U62" t="s">
        <v>3</v>
      </c>
      <c r="V62" t="s">
        <v>23</v>
      </c>
      <c r="W62">
        <v>179</v>
      </c>
      <c r="X62">
        <f t="shared" si="0"/>
        <v>0.93056295428404645</v>
      </c>
      <c r="Y62">
        <f t="shared" si="1"/>
        <v>1.0550188743883164</v>
      </c>
      <c r="Z62">
        <f t="shared" si="2"/>
        <v>1.247069631270969</v>
      </c>
      <c r="AA62">
        <f t="shared" si="3"/>
        <v>0.9927909143361815</v>
      </c>
      <c r="AB62">
        <f t="shared" si="4"/>
        <v>1.1510442528296427</v>
      </c>
    </row>
    <row r="63" spans="1:28" x14ac:dyDescent="0.3">
      <c r="A63" s="1" t="s">
        <v>13</v>
      </c>
      <c r="B63" s="1" t="s">
        <v>21</v>
      </c>
      <c r="C63" s="1">
        <v>44375</v>
      </c>
      <c r="D63">
        <v>179</v>
      </c>
      <c r="E63" t="s">
        <v>0</v>
      </c>
      <c r="F63">
        <v>1</v>
      </c>
      <c r="G63">
        <v>17.493573333333334</v>
      </c>
      <c r="H63" t="s">
        <v>1</v>
      </c>
      <c r="I63">
        <v>1</v>
      </c>
      <c r="J63">
        <v>11.637635467980303</v>
      </c>
      <c r="K63">
        <v>0.66525204692201079</v>
      </c>
      <c r="L63" t="s">
        <v>2</v>
      </c>
      <c r="M63">
        <v>1</v>
      </c>
      <c r="N63">
        <v>6.3797184999999983</v>
      </c>
      <c r="O63">
        <v>0.36468927065025014</v>
      </c>
      <c r="P63" t="s">
        <v>3</v>
      </c>
      <c r="Q63">
        <v>1</v>
      </c>
      <c r="R63">
        <v>16.278871282051281</v>
      </c>
      <c r="S63">
        <v>0.93056295428404645</v>
      </c>
      <c r="U63" t="s">
        <v>3</v>
      </c>
      <c r="V63" t="s">
        <v>21</v>
      </c>
      <c r="W63">
        <v>179</v>
      </c>
      <c r="X63">
        <f t="shared" si="0"/>
        <v>0.93056295428404645</v>
      </c>
      <c r="Y63">
        <f t="shared" si="1"/>
        <v>1.0547699317596291</v>
      </c>
      <c r="Z63">
        <f t="shared" si="2"/>
        <v>1.0550188743883164</v>
      </c>
      <c r="AA63">
        <f t="shared" si="3"/>
        <v>0.99266644302183771</v>
      </c>
      <c r="AB63">
        <f t="shared" si="4"/>
        <v>1.0548944030739729</v>
      </c>
    </row>
    <row r="64" spans="1:28" x14ac:dyDescent="0.3">
      <c r="A64" s="1" t="s">
        <v>13</v>
      </c>
      <c r="B64" s="1" t="s">
        <v>21</v>
      </c>
      <c r="C64" s="1">
        <v>44375</v>
      </c>
      <c r="D64">
        <v>179</v>
      </c>
      <c r="E64" t="s">
        <v>0</v>
      </c>
      <c r="F64">
        <v>2</v>
      </c>
      <c r="G64">
        <v>16.792042564102569</v>
      </c>
      <c r="H64" t="s">
        <v>1</v>
      </c>
      <c r="I64">
        <v>2</v>
      </c>
      <c r="J64">
        <v>5.1122102051282043</v>
      </c>
      <c r="K64">
        <v>0.30444242775187486</v>
      </c>
      <c r="L64" t="s">
        <v>2</v>
      </c>
      <c r="M64">
        <v>2</v>
      </c>
      <c r="N64">
        <v>4.2619640000000034</v>
      </c>
      <c r="O64">
        <v>0.25380855150469178</v>
      </c>
      <c r="P64" t="s">
        <v>3</v>
      </c>
      <c r="Q64">
        <v>1</v>
      </c>
      <c r="R64">
        <v>17.71592184466019</v>
      </c>
      <c r="S64">
        <v>1.0550188743883164</v>
      </c>
      <c r="U64" t="s">
        <v>3</v>
      </c>
      <c r="V64" t="s">
        <v>21</v>
      </c>
      <c r="W64">
        <v>179</v>
      </c>
      <c r="X64">
        <f t="shared" si="0"/>
        <v>0.2736515239470364</v>
      </c>
      <c r="Y64">
        <f t="shared" si="1"/>
        <v>1.0547699317596291</v>
      </c>
      <c r="Z64">
        <f t="shared" si="2"/>
        <v>1.0550188743883164</v>
      </c>
      <c r="AA64">
        <f t="shared" si="3"/>
        <v>0.66421072785333268</v>
      </c>
      <c r="AB64">
        <f t="shared" si="4"/>
        <v>1.0548944030739729</v>
      </c>
    </row>
    <row r="65" spans="1:28" x14ac:dyDescent="0.3">
      <c r="A65" s="1" t="s">
        <v>13</v>
      </c>
      <c r="B65" s="1" t="s">
        <v>21</v>
      </c>
      <c r="C65" s="1">
        <v>44375</v>
      </c>
      <c r="D65">
        <v>179</v>
      </c>
      <c r="E65" t="s">
        <v>0</v>
      </c>
      <c r="F65">
        <v>3</v>
      </c>
      <c r="G65">
        <v>18.316887804878046</v>
      </c>
      <c r="H65" t="s">
        <v>1</v>
      </c>
      <c r="I65">
        <v>3</v>
      </c>
      <c r="J65">
        <v>2.7710527093596049</v>
      </c>
      <c r="K65">
        <v>0.15128403574223095</v>
      </c>
      <c r="L65" t="s">
        <v>2</v>
      </c>
      <c r="M65">
        <v>3</v>
      </c>
      <c r="N65">
        <v>2.8798152709359592</v>
      </c>
      <c r="O65">
        <v>0.15722186550539571</v>
      </c>
      <c r="P65" t="s">
        <v>3</v>
      </c>
      <c r="Q65">
        <v>2</v>
      </c>
      <c r="R65">
        <v>19.320102500000001</v>
      </c>
      <c r="S65">
        <v>1.0547699317596291</v>
      </c>
      <c r="U65" t="s">
        <v>3</v>
      </c>
      <c r="V65" t="s">
        <v>21</v>
      </c>
      <c r="W65">
        <v>179</v>
      </c>
      <c r="X65">
        <f t="shared" si="0"/>
        <v>0.2736515239470364</v>
      </c>
      <c r="Y65">
        <f t="shared" si="1"/>
        <v>1.0547699317596291</v>
      </c>
      <c r="Z65">
        <f t="shared" si="2"/>
        <v>1.0972936502592194</v>
      </c>
      <c r="AA65">
        <f t="shared" si="3"/>
        <v>0.66421072785333268</v>
      </c>
      <c r="AB65">
        <f t="shared" si="4"/>
        <v>1.0760317910094241</v>
      </c>
    </row>
    <row r="66" spans="1:28" x14ac:dyDescent="0.3">
      <c r="A66" s="1" t="s">
        <v>14</v>
      </c>
      <c r="B66" s="1" t="s">
        <v>24</v>
      </c>
      <c r="C66" s="1">
        <v>44375</v>
      </c>
      <c r="D66">
        <v>179</v>
      </c>
      <c r="E66" t="s">
        <v>0</v>
      </c>
      <c r="F66">
        <v>1</v>
      </c>
      <c r="G66">
        <v>4.3363004926108344</v>
      </c>
      <c r="H66" t="s">
        <v>1</v>
      </c>
      <c r="I66">
        <v>1</v>
      </c>
      <c r="J66">
        <v>-2.2392344</v>
      </c>
      <c r="K66">
        <v>-0.51639281083396138</v>
      </c>
      <c r="L66" t="s">
        <v>2</v>
      </c>
      <c r="M66">
        <v>1</v>
      </c>
      <c r="N66">
        <v>1.2647349282296627</v>
      </c>
      <c r="O66">
        <v>0.29166219693141721</v>
      </c>
      <c r="P66" t="s">
        <v>3</v>
      </c>
      <c r="Q66">
        <v>1</v>
      </c>
      <c r="R66">
        <v>1.1866352380952394</v>
      </c>
      <c r="S66">
        <v>0.2736515239470364</v>
      </c>
      <c r="U66" t="s">
        <v>3</v>
      </c>
      <c r="V66" t="s">
        <v>24</v>
      </c>
      <c r="W66">
        <v>179</v>
      </c>
      <c r="X66">
        <f t="shared" si="0"/>
        <v>0.2736515239470364</v>
      </c>
      <c r="Y66">
        <f t="shared" si="1"/>
        <v>1.0972936502592194</v>
      </c>
      <c r="Z66">
        <f t="shared" si="2"/>
        <v>3.1885949849354427</v>
      </c>
      <c r="AA66">
        <f t="shared" si="3"/>
        <v>0.68547258710312797</v>
      </c>
      <c r="AB66">
        <f t="shared" si="4"/>
        <v>2.1429443175973311</v>
      </c>
    </row>
    <row r="67" spans="1:28" x14ac:dyDescent="0.3">
      <c r="A67" s="1" t="s">
        <v>14</v>
      </c>
      <c r="B67" s="1" t="s">
        <v>24</v>
      </c>
      <c r="C67" s="1">
        <v>44375</v>
      </c>
      <c r="D67">
        <v>179</v>
      </c>
      <c r="E67" t="s">
        <v>0</v>
      </c>
      <c r="F67">
        <v>2</v>
      </c>
      <c r="G67">
        <v>1.687904807692308</v>
      </c>
      <c r="H67" t="s">
        <v>1</v>
      </c>
      <c r="I67">
        <v>2</v>
      </c>
      <c r="J67">
        <v>0.556875804878049</v>
      </c>
      <c r="K67">
        <v>0.32992133344261626</v>
      </c>
      <c r="L67" t="s">
        <v>2</v>
      </c>
      <c r="M67">
        <v>2</v>
      </c>
      <c r="N67">
        <v>4.8572720207253832</v>
      </c>
      <c r="O67">
        <v>2.8776931012870404</v>
      </c>
      <c r="P67" t="s">
        <v>3</v>
      </c>
      <c r="Q67">
        <v>2</v>
      </c>
      <c r="R67">
        <v>1.8521272277227785</v>
      </c>
      <c r="S67">
        <v>1.0972936502592194</v>
      </c>
      <c r="U67" t="s">
        <v>3</v>
      </c>
      <c r="V67" t="s">
        <v>24</v>
      </c>
      <c r="W67">
        <v>179</v>
      </c>
      <c r="X67">
        <f t="shared" ref="X67:X130" si="5">MIN(S67:S69)</f>
        <v>1.0972936502592194</v>
      </c>
      <c r="Y67">
        <f t="shared" ref="Y67:Y130" si="6">MEDIAN(S67:S69)</f>
        <v>1.7580988292773136</v>
      </c>
      <c r="Z67">
        <f t="shared" ref="Z67:Z130" si="7">MAX(S67:S69)</f>
        <v>3.1885949849354427</v>
      </c>
      <c r="AA67">
        <f t="shared" ref="AA67:AA130" si="8">_xlfn.PERCENTILE.INC(S67:S69,0.25)</f>
        <v>1.4276962397682667</v>
      </c>
      <c r="AB67">
        <f t="shared" ref="AB67:AB130" si="9">_xlfn.PERCENTILE.INC(S67:S69,0.75)</f>
        <v>2.4733469071063783</v>
      </c>
    </row>
    <row r="68" spans="1:28" x14ac:dyDescent="0.3">
      <c r="A68" s="1" t="s">
        <v>14</v>
      </c>
      <c r="B68" s="1" t="s">
        <v>24</v>
      </c>
      <c r="C68" s="1">
        <v>44375</v>
      </c>
      <c r="D68">
        <v>179</v>
      </c>
      <c r="E68" t="s">
        <v>0</v>
      </c>
      <c r="F68">
        <v>3</v>
      </c>
      <c r="G68">
        <v>0.49029033816425183</v>
      </c>
      <c r="H68" t="s">
        <v>1</v>
      </c>
      <c r="I68">
        <v>3</v>
      </c>
      <c r="J68">
        <v>-0.48142885572139499</v>
      </c>
      <c r="K68">
        <v>-0.98192605125355714</v>
      </c>
      <c r="L68" t="s">
        <v>2</v>
      </c>
      <c r="M68">
        <v>3</v>
      </c>
      <c r="N68">
        <v>4.1029187192118224</v>
      </c>
      <c r="O68">
        <v>8.3683450393372958</v>
      </c>
      <c r="P68" t="s">
        <v>3</v>
      </c>
      <c r="Q68">
        <v>3</v>
      </c>
      <c r="R68">
        <v>1.5633373134328357</v>
      </c>
      <c r="S68">
        <v>3.1885949849354427</v>
      </c>
      <c r="U68" t="s">
        <v>3</v>
      </c>
      <c r="V68" t="s">
        <v>24</v>
      </c>
      <c r="W68">
        <v>179</v>
      </c>
      <c r="X68">
        <f t="shared" si="5"/>
        <v>1.285510009238789</v>
      </c>
      <c r="Y68">
        <f t="shared" si="6"/>
        <v>1.7580988292773136</v>
      </c>
      <c r="Z68">
        <f t="shared" si="7"/>
        <v>3.1885949849354427</v>
      </c>
      <c r="AA68">
        <f t="shared" si="8"/>
        <v>1.5218044192580513</v>
      </c>
      <c r="AB68">
        <f t="shared" si="9"/>
        <v>2.4733469071063783</v>
      </c>
    </row>
    <row r="69" spans="1:28" x14ac:dyDescent="0.3">
      <c r="A69" s="1" t="s">
        <v>13</v>
      </c>
      <c r="B69" s="1" t="s">
        <v>19</v>
      </c>
      <c r="C69" s="1">
        <v>44389</v>
      </c>
      <c r="D69">
        <v>193</v>
      </c>
      <c r="E69" t="s">
        <v>0</v>
      </c>
      <c r="F69">
        <v>1</v>
      </c>
      <c r="G69">
        <v>31.351955906976741</v>
      </c>
      <c r="H69" t="s">
        <v>1</v>
      </c>
      <c r="I69">
        <v>1</v>
      </c>
      <c r="J69">
        <v>56.424324511627916</v>
      </c>
      <c r="K69">
        <v>1.7997066811092264</v>
      </c>
      <c r="L69" t="s">
        <v>2</v>
      </c>
      <c r="M69">
        <v>1</v>
      </c>
      <c r="N69">
        <v>33.625348428571428</v>
      </c>
      <c r="O69">
        <v>1.0725119838883415</v>
      </c>
      <c r="P69" t="s">
        <v>3</v>
      </c>
      <c r="Q69">
        <v>1</v>
      </c>
      <c r="R69">
        <v>55.119836975609765</v>
      </c>
      <c r="S69">
        <v>1.7580988292773136</v>
      </c>
      <c r="U69" t="s">
        <v>3</v>
      </c>
      <c r="V69" t="s">
        <v>19</v>
      </c>
      <c r="W69">
        <v>179</v>
      </c>
      <c r="X69">
        <f t="shared" si="5"/>
        <v>1.285510009238789</v>
      </c>
      <c r="Y69">
        <f t="shared" si="6"/>
        <v>1.4289876886580817</v>
      </c>
      <c r="Z69">
        <f t="shared" si="7"/>
        <v>1.7580988292773136</v>
      </c>
      <c r="AA69">
        <f t="shared" si="8"/>
        <v>1.3572488489484353</v>
      </c>
      <c r="AB69">
        <f t="shared" si="9"/>
        <v>1.5935432589676977</v>
      </c>
    </row>
    <row r="70" spans="1:28" x14ac:dyDescent="0.3">
      <c r="A70" s="1" t="s">
        <v>13</v>
      </c>
      <c r="B70" s="1" t="s">
        <v>19</v>
      </c>
      <c r="C70" s="1">
        <v>44389</v>
      </c>
      <c r="D70">
        <v>193</v>
      </c>
      <c r="E70" t="s">
        <v>0</v>
      </c>
      <c r="F70">
        <v>2</v>
      </c>
      <c r="G70">
        <v>53.022982809999988</v>
      </c>
      <c r="H70" t="s">
        <v>1</v>
      </c>
      <c r="I70">
        <v>2</v>
      </c>
      <c r="J70">
        <v>32.398693463414631</v>
      </c>
      <c r="K70">
        <v>0.61103113680930687</v>
      </c>
      <c r="L70" t="s">
        <v>2</v>
      </c>
      <c r="M70">
        <v>2</v>
      </c>
      <c r="N70">
        <v>55.445580931707319</v>
      </c>
      <c r="O70">
        <v>1.0456895857856272</v>
      </c>
      <c r="P70" t="s">
        <v>3</v>
      </c>
      <c r="Q70">
        <v>2</v>
      </c>
      <c r="R70">
        <v>68.16157512195123</v>
      </c>
      <c r="S70">
        <v>1.285510009238789</v>
      </c>
      <c r="U70" t="s">
        <v>3</v>
      </c>
      <c r="V70" t="s">
        <v>19</v>
      </c>
      <c r="W70">
        <v>193</v>
      </c>
      <c r="X70">
        <f t="shared" si="5"/>
        <v>1.285510009238789</v>
      </c>
      <c r="Y70">
        <f t="shared" si="6"/>
        <v>1.330688710145979</v>
      </c>
      <c r="Z70">
        <f t="shared" si="7"/>
        <v>1.4289876886580817</v>
      </c>
      <c r="AA70">
        <f t="shared" si="8"/>
        <v>1.308099359692384</v>
      </c>
      <c r="AB70">
        <f t="shared" si="9"/>
        <v>1.3798381994020303</v>
      </c>
    </row>
    <row r="71" spans="1:28" x14ac:dyDescent="0.3">
      <c r="A71" s="1" t="s">
        <v>13</v>
      </c>
      <c r="B71" s="1" t="s">
        <v>19</v>
      </c>
      <c r="C71" s="1">
        <v>44389</v>
      </c>
      <c r="D71">
        <v>193</v>
      </c>
      <c r="E71" t="s">
        <v>0</v>
      </c>
      <c r="F71">
        <v>3</v>
      </c>
      <c r="G71">
        <v>44.659996190476193</v>
      </c>
      <c r="H71" t="s">
        <v>1</v>
      </c>
      <c r="I71">
        <v>3</v>
      </c>
      <c r="J71">
        <v>33.014192957746474</v>
      </c>
      <c r="K71">
        <v>0.73923411943297024</v>
      </c>
      <c r="L71" t="s">
        <v>2</v>
      </c>
      <c r="M71">
        <v>2</v>
      </c>
      <c r="N71">
        <v>69.571844444444466</v>
      </c>
      <c r="O71">
        <v>1.5578112489691784</v>
      </c>
      <c r="P71" t="s">
        <v>3</v>
      </c>
      <c r="Q71">
        <v>3</v>
      </c>
      <c r="R71">
        <v>63.818584731707311</v>
      </c>
      <c r="S71">
        <v>1.4289876886580817</v>
      </c>
      <c r="U71" t="s">
        <v>3</v>
      </c>
      <c r="V71" t="s">
        <v>19</v>
      </c>
      <c r="W71">
        <v>193</v>
      </c>
      <c r="X71">
        <f t="shared" si="5"/>
        <v>0.96265132787531449</v>
      </c>
      <c r="Y71">
        <f t="shared" si="6"/>
        <v>1.330688710145979</v>
      </c>
      <c r="Z71">
        <f t="shared" si="7"/>
        <v>1.4289876886580817</v>
      </c>
      <c r="AA71">
        <f t="shared" si="8"/>
        <v>1.1466700190106467</v>
      </c>
      <c r="AB71">
        <f t="shared" si="9"/>
        <v>1.3798381994020303</v>
      </c>
    </row>
    <row r="72" spans="1:28" x14ac:dyDescent="0.3">
      <c r="A72" s="1" t="s">
        <v>14</v>
      </c>
      <c r="B72" s="1" t="s">
        <v>22</v>
      </c>
      <c r="C72" s="1">
        <v>44389</v>
      </c>
      <c r="D72">
        <v>193</v>
      </c>
      <c r="E72" t="s">
        <v>0</v>
      </c>
      <c r="F72">
        <v>1</v>
      </c>
      <c r="G72">
        <v>7.8550860000000009</v>
      </c>
      <c r="H72" t="s">
        <v>1</v>
      </c>
      <c r="I72">
        <v>1</v>
      </c>
      <c r="J72">
        <v>5.9599272499999989</v>
      </c>
      <c r="K72">
        <v>0.75873481843483292</v>
      </c>
      <c r="L72" t="s">
        <v>2</v>
      </c>
      <c r="M72">
        <v>1</v>
      </c>
      <c r="N72">
        <v>10.223753623188406</v>
      </c>
      <c r="O72">
        <v>1.3015457275946316</v>
      </c>
      <c r="P72" t="s">
        <v>3</v>
      </c>
      <c r="Q72">
        <v>1</v>
      </c>
      <c r="R72">
        <v>10.452674257425739</v>
      </c>
      <c r="S72">
        <v>1.330688710145979</v>
      </c>
      <c r="U72" t="s">
        <v>3</v>
      </c>
      <c r="V72" t="s">
        <v>22</v>
      </c>
      <c r="W72">
        <v>193</v>
      </c>
      <c r="X72">
        <f>MIN(S72:S73)</f>
        <v>0.96265132787531449</v>
      </c>
      <c r="Y72">
        <f>MEDIAN(S72:S73)</f>
        <v>1.1466700190106467</v>
      </c>
      <c r="Z72">
        <f>MAX(S72:S73)</f>
        <v>1.330688710145979</v>
      </c>
      <c r="AA72">
        <f>_xlfn.PERCENTILE.INC(S72:S73,0.25)</f>
        <v>1.0546606734429806</v>
      </c>
      <c r="AB72">
        <f>_xlfn.PERCENTILE.INC(S72:S73,0.75)</f>
        <v>1.2386793645783127</v>
      </c>
    </row>
    <row r="73" spans="1:28" x14ac:dyDescent="0.3">
      <c r="A73" s="1" t="s">
        <v>14</v>
      </c>
      <c r="B73" s="1" t="s">
        <v>22</v>
      </c>
      <c r="C73" s="1">
        <v>44389</v>
      </c>
      <c r="D73">
        <v>193</v>
      </c>
      <c r="E73" t="s">
        <v>0</v>
      </c>
      <c r="F73">
        <v>2</v>
      </c>
      <c r="G73">
        <v>7.205306635071091</v>
      </c>
      <c r="H73" t="s">
        <v>1</v>
      </c>
      <c r="I73">
        <v>2</v>
      </c>
      <c r="J73">
        <v>7.5980337579617858</v>
      </c>
      <c r="K73">
        <v>1.0545052615775068</v>
      </c>
      <c r="L73" t="s">
        <v>2</v>
      </c>
      <c r="M73">
        <v>2</v>
      </c>
      <c r="N73">
        <v>8.427828780487804</v>
      </c>
      <c r="O73">
        <v>1.1696696903177184</v>
      </c>
      <c r="P73" t="s">
        <v>3</v>
      </c>
      <c r="Q73">
        <v>2</v>
      </c>
      <c r="R73">
        <v>6.9361980000000001</v>
      </c>
      <c r="S73">
        <v>0.96265132787531449</v>
      </c>
      <c r="U73" t="s">
        <v>3</v>
      </c>
      <c r="V73" t="s">
        <v>22</v>
      </c>
      <c r="W73">
        <v>193</v>
      </c>
      <c r="X73">
        <f t="shared" si="5"/>
        <v>0.94245397265151898</v>
      </c>
      <c r="Y73">
        <f t="shared" si="6"/>
        <v>0.96265132787531449</v>
      </c>
      <c r="Z73">
        <f t="shared" si="7"/>
        <v>1.055092067629771</v>
      </c>
      <c r="AA73">
        <f t="shared" si="8"/>
        <v>0.95255265026341673</v>
      </c>
      <c r="AB73">
        <f t="shared" si="9"/>
        <v>1.0088716977525427</v>
      </c>
    </row>
    <row r="74" spans="1:28" x14ac:dyDescent="0.3">
      <c r="A74" s="1" t="s">
        <v>13</v>
      </c>
      <c r="B74" s="1" t="s">
        <v>20</v>
      </c>
      <c r="C74" s="1">
        <v>44389</v>
      </c>
      <c r="D74">
        <v>193</v>
      </c>
      <c r="E74" t="s">
        <v>0</v>
      </c>
      <c r="F74">
        <v>1</v>
      </c>
      <c r="G74">
        <v>107.83881860465115</v>
      </c>
      <c r="H74" t="s">
        <v>1</v>
      </c>
      <c r="I74">
        <v>1</v>
      </c>
      <c r="J74">
        <v>266.26875029999997</v>
      </c>
      <c r="K74">
        <v>2.4691363809925457</v>
      </c>
      <c r="L74" t="s">
        <v>2</v>
      </c>
      <c r="M74">
        <v>1</v>
      </c>
      <c r="N74">
        <v>314.48448999999994</v>
      </c>
      <c r="O74">
        <v>2.9162456902735028</v>
      </c>
      <c r="P74" t="s">
        <v>3</v>
      </c>
      <c r="Q74">
        <v>1</v>
      </c>
      <c r="R74">
        <v>101.63312300000001</v>
      </c>
      <c r="S74">
        <v>0.94245397265151898</v>
      </c>
      <c r="U74" t="s">
        <v>3</v>
      </c>
      <c r="V74" t="s">
        <v>20</v>
      </c>
      <c r="W74">
        <v>193</v>
      </c>
      <c r="X74">
        <f t="shared" si="5"/>
        <v>0.94245397265151898</v>
      </c>
      <c r="Y74">
        <f t="shared" si="6"/>
        <v>1.055092067629771</v>
      </c>
      <c r="Z74">
        <f t="shared" si="7"/>
        <v>1.1244777030094277</v>
      </c>
      <c r="AA74">
        <f t="shared" si="8"/>
        <v>0.99877302014064506</v>
      </c>
      <c r="AB74">
        <f t="shared" si="9"/>
        <v>1.0897848853195993</v>
      </c>
    </row>
    <row r="75" spans="1:28" x14ac:dyDescent="0.3">
      <c r="A75" s="1" t="s">
        <v>13</v>
      </c>
      <c r="B75" s="1" t="s">
        <v>20</v>
      </c>
      <c r="C75" s="1">
        <v>44389</v>
      </c>
      <c r="D75">
        <v>193</v>
      </c>
      <c r="E75" t="s">
        <v>0</v>
      </c>
      <c r="F75">
        <v>2</v>
      </c>
      <c r="G75">
        <v>145.81858656716417</v>
      </c>
      <c r="H75" t="s">
        <v>1</v>
      </c>
      <c r="I75">
        <v>2</v>
      </c>
      <c r="J75">
        <v>248.66237999999996</v>
      </c>
      <c r="K75">
        <v>1.7052859025311278</v>
      </c>
      <c r="L75" t="s">
        <v>2</v>
      </c>
      <c r="M75">
        <v>2</v>
      </c>
      <c r="N75">
        <v>313.12135000000001</v>
      </c>
      <c r="O75">
        <v>2.1473349685485807</v>
      </c>
      <c r="P75" t="s">
        <v>3</v>
      </c>
      <c r="Q75">
        <v>2</v>
      </c>
      <c r="R75">
        <v>153.852034</v>
      </c>
      <c r="S75">
        <v>1.055092067629771</v>
      </c>
      <c r="U75" t="s">
        <v>3</v>
      </c>
      <c r="V75" t="s">
        <v>20</v>
      </c>
      <c r="W75">
        <v>193</v>
      </c>
      <c r="X75">
        <f t="shared" si="5"/>
        <v>1.055092067629771</v>
      </c>
      <c r="Y75">
        <f t="shared" si="6"/>
        <v>1.1244777030094277</v>
      </c>
      <c r="Z75">
        <f t="shared" si="7"/>
        <v>1.3621386462501122</v>
      </c>
      <c r="AA75">
        <f t="shared" si="8"/>
        <v>1.0897848853195993</v>
      </c>
      <c r="AB75">
        <f t="shared" si="9"/>
        <v>1.2433081746297701</v>
      </c>
    </row>
    <row r="76" spans="1:28" x14ac:dyDescent="0.3">
      <c r="A76" s="1" t="s">
        <v>13</v>
      </c>
      <c r="B76" s="1" t="s">
        <v>20</v>
      </c>
      <c r="C76" s="1">
        <v>44389</v>
      </c>
      <c r="D76">
        <v>193</v>
      </c>
      <c r="E76" t="s">
        <v>0</v>
      </c>
      <c r="F76">
        <v>3</v>
      </c>
      <c r="G76">
        <v>114.44053150684933</v>
      </c>
      <c r="H76" t="s">
        <v>1</v>
      </c>
      <c r="I76">
        <v>3</v>
      </c>
      <c r="J76">
        <v>211.94686499999997</v>
      </c>
      <c r="K76">
        <v>1.8520262201623456</v>
      </c>
      <c r="L76" t="s">
        <v>2</v>
      </c>
      <c r="M76">
        <v>3</v>
      </c>
      <c r="N76">
        <v>358.72573599999993</v>
      </c>
      <c r="O76">
        <v>3.1346038966843666</v>
      </c>
      <c r="P76" t="s">
        <v>3</v>
      </c>
      <c r="Q76">
        <v>3</v>
      </c>
      <c r="R76">
        <v>128.68582599999996</v>
      </c>
      <c r="S76">
        <v>1.1244777030094277</v>
      </c>
      <c r="U76" t="s">
        <v>3</v>
      </c>
      <c r="V76" t="s">
        <v>20</v>
      </c>
      <c r="W76">
        <v>193</v>
      </c>
      <c r="X76">
        <f t="shared" si="5"/>
        <v>1.0111988964587604</v>
      </c>
      <c r="Y76">
        <f t="shared" si="6"/>
        <v>1.1244777030094277</v>
      </c>
      <c r="Z76">
        <f t="shared" si="7"/>
        <v>1.3621386462501122</v>
      </c>
      <c r="AA76">
        <f t="shared" si="8"/>
        <v>1.0678382997340941</v>
      </c>
      <c r="AB76">
        <f t="shared" si="9"/>
        <v>1.2433081746297701</v>
      </c>
    </row>
    <row r="77" spans="1:28" x14ac:dyDescent="0.3">
      <c r="A77" s="1" t="s">
        <v>14</v>
      </c>
      <c r="B77" s="1" t="s">
        <v>23</v>
      </c>
      <c r="C77" s="1">
        <v>44389</v>
      </c>
      <c r="D77">
        <v>193</v>
      </c>
      <c r="E77" t="s">
        <v>0</v>
      </c>
      <c r="F77">
        <v>1</v>
      </c>
      <c r="G77">
        <v>19.258674514285715</v>
      </c>
      <c r="H77" t="s">
        <v>1</v>
      </c>
      <c r="I77">
        <v>1</v>
      </c>
      <c r="J77">
        <v>106.94411916666667</v>
      </c>
      <c r="K77">
        <v>5.5530363259079731</v>
      </c>
      <c r="L77" t="s">
        <v>2</v>
      </c>
      <c r="M77">
        <v>1</v>
      </c>
      <c r="N77">
        <v>110.39182802547769</v>
      </c>
      <c r="O77">
        <v>5.7320574135873761</v>
      </c>
      <c r="P77" t="s">
        <v>3</v>
      </c>
      <c r="Q77">
        <v>1</v>
      </c>
      <c r="R77">
        <v>26.23298483146068</v>
      </c>
      <c r="S77">
        <v>1.3621386462501122</v>
      </c>
      <c r="U77" t="s">
        <v>3</v>
      </c>
      <c r="V77" t="s">
        <v>23</v>
      </c>
      <c r="W77">
        <v>193</v>
      </c>
      <c r="X77">
        <f t="shared" si="5"/>
        <v>1.0111988964587604</v>
      </c>
      <c r="Y77">
        <f t="shared" si="6"/>
        <v>1.1866687713544364</v>
      </c>
      <c r="Z77">
        <f t="shared" si="7"/>
        <v>1.3621386462501122</v>
      </c>
      <c r="AA77">
        <f t="shared" si="8"/>
        <v>1.0989338339065984</v>
      </c>
      <c r="AB77">
        <f t="shared" si="9"/>
        <v>1.2744037088022742</v>
      </c>
    </row>
    <row r="78" spans="1:28" x14ac:dyDescent="0.3">
      <c r="A78" s="1" t="s">
        <v>14</v>
      </c>
      <c r="B78" s="1" t="s">
        <v>23</v>
      </c>
      <c r="C78" s="1">
        <v>44389</v>
      </c>
      <c r="D78">
        <v>193</v>
      </c>
      <c r="E78" t="s">
        <v>0</v>
      </c>
      <c r="F78">
        <v>2</v>
      </c>
      <c r="G78">
        <v>18.504321052631575</v>
      </c>
      <c r="H78" t="s">
        <v>1</v>
      </c>
      <c r="I78">
        <v>2</v>
      </c>
      <c r="J78">
        <v>72.30769234449761</v>
      </c>
      <c r="K78">
        <v>3.9076112081515384</v>
      </c>
      <c r="L78" t="s">
        <v>2</v>
      </c>
      <c r="M78">
        <v>2</v>
      </c>
      <c r="N78">
        <v>102.92326993006991</v>
      </c>
      <c r="O78">
        <v>5.5621208493587382</v>
      </c>
      <c r="P78" t="s">
        <v>3</v>
      </c>
      <c r="Q78">
        <v>2</v>
      </c>
      <c r="R78">
        <v>18.711549028139657</v>
      </c>
      <c r="S78">
        <v>1.0111988964587604</v>
      </c>
      <c r="U78" t="s">
        <v>3</v>
      </c>
      <c r="V78" t="s">
        <v>23</v>
      </c>
      <c r="W78">
        <v>193</v>
      </c>
      <c r="X78">
        <f t="shared" si="5"/>
        <v>0.94396267344695139</v>
      </c>
      <c r="Y78">
        <f t="shared" si="6"/>
        <v>0.97758078495285594</v>
      </c>
      <c r="Z78">
        <f t="shared" si="7"/>
        <v>1.0111988964587604</v>
      </c>
      <c r="AA78">
        <f t="shared" si="8"/>
        <v>0.96077172919990361</v>
      </c>
      <c r="AB78">
        <f t="shared" si="9"/>
        <v>0.99438984070580816</v>
      </c>
    </row>
    <row r="79" spans="1:28" x14ac:dyDescent="0.3">
      <c r="A79" s="1" t="s">
        <v>14</v>
      </c>
      <c r="B79" s="1" t="s">
        <v>23</v>
      </c>
      <c r="C79" s="1">
        <v>44389</v>
      </c>
      <c r="D79">
        <v>193</v>
      </c>
      <c r="E79" t="s">
        <v>0</v>
      </c>
      <c r="F79">
        <v>3</v>
      </c>
      <c r="G79">
        <v>25.075899428571432</v>
      </c>
      <c r="H79" t="s">
        <v>1</v>
      </c>
      <c r="I79">
        <v>3</v>
      </c>
      <c r="J79">
        <v>77.315285533980585</v>
      </c>
      <c r="K79">
        <v>3.0832507425790556</v>
      </c>
      <c r="L79" t="s">
        <v>2</v>
      </c>
      <c r="M79">
        <v>3</v>
      </c>
      <c r="N79">
        <v>70.721649793103452</v>
      </c>
      <c r="O79">
        <v>2.8203036144148568</v>
      </c>
      <c r="U79" t="s">
        <v>3</v>
      </c>
      <c r="V79" t="s">
        <v>23</v>
      </c>
      <c r="W79">
        <v>193</v>
      </c>
      <c r="X79">
        <f t="shared" si="5"/>
        <v>0.94396267344695139</v>
      </c>
      <c r="Y79">
        <f t="shared" si="6"/>
        <v>0.9630494495501335</v>
      </c>
      <c r="Z79">
        <f t="shared" si="7"/>
        <v>0.9821362256533156</v>
      </c>
      <c r="AA79">
        <f t="shared" si="8"/>
        <v>0.95350606149854245</v>
      </c>
      <c r="AB79">
        <f t="shared" si="9"/>
        <v>0.97259283760172455</v>
      </c>
    </row>
    <row r="80" spans="1:28" x14ac:dyDescent="0.3">
      <c r="A80" s="1" t="s">
        <v>13</v>
      </c>
      <c r="B80" s="1" t="s">
        <v>21</v>
      </c>
      <c r="C80" s="1">
        <v>44389</v>
      </c>
      <c r="D80">
        <v>193</v>
      </c>
      <c r="E80" t="s">
        <v>0</v>
      </c>
      <c r="F80">
        <v>1</v>
      </c>
      <c r="G80">
        <v>4.6033741116751239</v>
      </c>
      <c r="H80" t="s">
        <v>1</v>
      </c>
      <c r="I80">
        <v>1</v>
      </c>
      <c r="J80">
        <v>2.7446931578947362</v>
      </c>
      <c r="K80">
        <v>0.59623508568065708</v>
      </c>
      <c r="L80" t="s">
        <v>2</v>
      </c>
      <c r="M80">
        <v>1</v>
      </c>
      <c r="N80">
        <v>2.1309941463414637</v>
      </c>
      <c r="O80">
        <v>0.46292004400355269</v>
      </c>
      <c r="P80" t="s">
        <v>3</v>
      </c>
      <c r="Q80">
        <v>1</v>
      </c>
      <c r="R80">
        <v>4.3454133333333349</v>
      </c>
      <c r="S80">
        <v>0.94396267344695139</v>
      </c>
      <c r="U80" t="s">
        <v>3</v>
      </c>
      <c r="V80" t="s">
        <v>21</v>
      </c>
      <c r="W80">
        <v>193</v>
      </c>
      <c r="X80">
        <f t="shared" si="5"/>
        <v>0.19540114247519519</v>
      </c>
      <c r="Y80">
        <f t="shared" si="6"/>
        <v>0.94396267344695139</v>
      </c>
      <c r="Z80">
        <f t="shared" si="7"/>
        <v>0.9821362256533156</v>
      </c>
      <c r="AA80">
        <f t="shared" si="8"/>
        <v>0.56968190796107332</v>
      </c>
      <c r="AB80">
        <f t="shared" si="9"/>
        <v>0.9630494495501335</v>
      </c>
    </row>
    <row r="81" spans="1:28" x14ac:dyDescent="0.3">
      <c r="A81" s="1" t="s">
        <v>13</v>
      </c>
      <c r="B81" s="1" t="s">
        <v>21</v>
      </c>
      <c r="C81" s="1">
        <v>44389</v>
      </c>
      <c r="D81">
        <v>193</v>
      </c>
      <c r="E81" t="s">
        <v>0</v>
      </c>
      <c r="F81">
        <v>2</v>
      </c>
      <c r="G81">
        <v>3.6969899999999991</v>
      </c>
      <c r="H81" t="s">
        <v>1</v>
      </c>
      <c r="I81">
        <v>2</v>
      </c>
      <c r="J81">
        <v>3.697828571428571</v>
      </c>
      <c r="K81">
        <v>1.0002268254522115</v>
      </c>
      <c r="L81" t="s">
        <v>2</v>
      </c>
      <c r="M81">
        <v>2</v>
      </c>
      <c r="N81">
        <v>4.2032348958333303</v>
      </c>
      <c r="O81">
        <v>1.1369343427581171</v>
      </c>
      <c r="P81" t="s">
        <v>3</v>
      </c>
      <c r="Q81">
        <v>2</v>
      </c>
      <c r="R81">
        <v>3.6309478048780504</v>
      </c>
      <c r="S81">
        <v>0.9821362256533156</v>
      </c>
      <c r="U81" t="s">
        <v>3</v>
      </c>
      <c r="V81" t="s">
        <v>21</v>
      </c>
      <c r="W81">
        <v>193</v>
      </c>
      <c r="X81">
        <f t="shared" si="5"/>
        <v>0.19540114247519519</v>
      </c>
      <c r="Y81">
        <f t="shared" si="6"/>
        <v>0.9821362256533156</v>
      </c>
      <c r="Z81">
        <f t="shared" si="7"/>
        <v>1.9181504429880922</v>
      </c>
      <c r="AA81">
        <f t="shared" si="8"/>
        <v>0.58876868406425542</v>
      </c>
      <c r="AB81">
        <f t="shared" si="9"/>
        <v>1.450143334320704</v>
      </c>
    </row>
    <row r="82" spans="1:28" x14ac:dyDescent="0.3">
      <c r="A82" s="1" t="s">
        <v>13</v>
      </c>
      <c r="B82" s="1" t="s">
        <v>21</v>
      </c>
      <c r="C82" s="1">
        <v>44389</v>
      </c>
      <c r="D82">
        <v>193</v>
      </c>
      <c r="E82" t="s">
        <v>0</v>
      </c>
      <c r="F82">
        <v>3</v>
      </c>
      <c r="G82">
        <v>4.4805999999999999</v>
      </c>
      <c r="H82" t="s">
        <v>1</v>
      </c>
      <c r="I82">
        <v>3</v>
      </c>
      <c r="J82">
        <v>4.4465073170731744</v>
      </c>
      <c r="K82">
        <v>0.9923910451888529</v>
      </c>
      <c r="L82" t="s">
        <v>2</v>
      </c>
      <c r="M82">
        <v>3</v>
      </c>
      <c r="N82">
        <v>3.2066811320754707</v>
      </c>
      <c r="O82">
        <v>0.71568118825056259</v>
      </c>
      <c r="P82" t="s">
        <v>3</v>
      </c>
      <c r="Q82">
        <v>3</v>
      </c>
      <c r="R82">
        <v>0.87551435897435959</v>
      </c>
      <c r="S82">
        <v>0.19540114247519519</v>
      </c>
      <c r="U82" t="s">
        <v>3</v>
      </c>
      <c r="V82" t="s">
        <v>21</v>
      </c>
      <c r="W82">
        <v>193</v>
      </c>
      <c r="X82">
        <f t="shared" si="5"/>
        <v>0.19540114247519519</v>
      </c>
      <c r="Y82">
        <f t="shared" si="6"/>
        <v>1.3689016112696526</v>
      </c>
      <c r="Z82">
        <f t="shared" si="7"/>
        <v>1.9181504429880922</v>
      </c>
      <c r="AA82">
        <f t="shared" si="8"/>
        <v>0.78215137687242398</v>
      </c>
      <c r="AB82">
        <f t="shared" si="9"/>
        <v>1.6435260271288725</v>
      </c>
    </row>
    <row r="83" spans="1:28" x14ac:dyDescent="0.3">
      <c r="A83" s="1" t="s">
        <v>14</v>
      </c>
      <c r="B83" s="1" t="s">
        <v>24</v>
      </c>
      <c r="C83" s="1">
        <v>44389</v>
      </c>
      <c r="D83">
        <v>193</v>
      </c>
      <c r="E83" t="s">
        <v>0</v>
      </c>
      <c r="F83">
        <v>1</v>
      </c>
      <c r="G83">
        <v>8.6278393203883468</v>
      </c>
      <c r="H83" t="s">
        <v>1</v>
      </c>
      <c r="I83">
        <v>1</v>
      </c>
      <c r="J83">
        <v>1.0880369999999997</v>
      </c>
      <c r="K83">
        <v>0.12610770316837869</v>
      </c>
      <c r="L83" t="s">
        <v>2</v>
      </c>
      <c r="M83">
        <v>1</v>
      </c>
      <c r="N83">
        <v>15.126483928571428</v>
      </c>
      <c r="O83">
        <v>1.753218084720958</v>
      </c>
      <c r="P83" t="s">
        <v>3</v>
      </c>
      <c r="Q83">
        <v>1</v>
      </c>
      <c r="R83">
        <v>16.549493814432989</v>
      </c>
      <c r="S83">
        <v>1.9181504429880922</v>
      </c>
      <c r="U83" t="s">
        <v>3</v>
      </c>
      <c r="V83" t="s">
        <v>24</v>
      </c>
      <c r="W83">
        <v>193</v>
      </c>
      <c r="X83">
        <f t="shared" si="5"/>
        <v>1.3689016112696526</v>
      </c>
      <c r="Y83">
        <f t="shared" si="6"/>
        <v>1.9181504429880922</v>
      </c>
      <c r="Z83">
        <f t="shared" si="7"/>
        <v>4.6341285749955281</v>
      </c>
      <c r="AA83">
        <f t="shared" si="8"/>
        <v>1.6435260271288725</v>
      </c>
      <c r="AB83">
        <f t="shared" si="9"/>
        <v>3.2761395089918102</v>
      </c>
    </row>
    <row r="84" spans="1:28" x14ac:dyDescent="0.3">
      <c r="A84" s="1" t="s">
        <v>14</v>
      </c>
      <c r="B84" s="1" t="s">
        <v>24</v>
      </c>
      <c r="C84" s="1">
        <v>44389</v>
      </c>
      <c r="D84">
        <v>193</v>
      </c>
      <c r="E84" t="s">
        <v>0</v>
      </c>
      <c r="F84">
        <v>2</v>
      </c>
      <c r="G84">
        <v>5.6237068421052623</v>
      </c>
      <c r="H84" t="s">
        <v>1</v>
      </c>
      <c r="I84">
        <v>2</v>
      </c>
      <c r="J84">
        <v>2.1114812182741112</v>
      </c>
      <c r="K84">
        <v>0.37546075525581057</v>
      </c>
      <c r="L84" t="s">
        <v>2</v>
      </c>
      <c r="M84">
        <v>2</v>
      </c>
      <c r="N84">
        <v>14.831430805687202</v>
      </c>
      <c r="O84">
        <v>2.63730511246475</v>
      </c>
      <c r="P84" t="s">
        <v>3</v>
      </c>
      <c r="Q84">
        <v>2</v>
      </c>
      <c r="R84">
        <v>7.6983013574660637</v>
      </c>
      <c r="S84">
        <v>1.3689016112696526</v>
      </c>
      <c r="U84" t="s">
        <v>3</v>
      </c>
      <c r="V84" t="s">
        <v>24</v>
      </c>
      <c r="W84">
        <v>193</v>
      </c>
      <c r="X84">
        <f t="shared" si="5"/>
        <v>0.75478512614488225</v>
      </c>
      <c r="Y84">
        <f t="shared" si="6"/>
        <v>1.3689016112696526</v>
      </c>
      <c r="Z84">
        <f t="shared" si="7"/>
        <v>4.6341285749955281</v>
      </c>
      <c r="AA84">
        <f t="shared" si="8"/>
        <v>1.0618433687072675</v>
      </c>
      <c r="AB84">
        <f t="shared" si="9"/>
        <v>3.00151509313259</v>
      </c>
    </row>
    <row r="85" spans="1:28" x14ac:dyDescent="0.3">
      <c r="A85" s="1" t="s">
        <v>14</v>
      </c>
      <c r="B85" s="1" t="s">
        <v>24</v>
      </c>
      <c r="C85" s="1">
        <v>44389</v>
      </c>
      <c r="D85">
        <v>193</v>
      </c>
      <c r="E85" t="s">
        <v>0</v>
      </c>
      <c r="F85">
        <v>3</v>
      </c>
      <c r="G85">
        <v>3.0434802590673571</v>
      </c>
      <c r="H85" t="s">
        <v>1</v>
      </c>
      <c r="I85">
        <v>3</v>
      </c>
      <c r="J85">
        <v>3.4194804651162811</v>
      </c>
      <c r="K85">
        <v>1.1235428437325055</v>
      </c>
      <c r="L85" t="s">
        <v>2</v>
      </c>
      <c r="M85">
        <v>3</v>
      </c>
      <c r="N85">
        <v>14.499114761904762</v>
      </c>
      <c r="O85">
        <v>4.7639917225380213</v>
      </c>
      <c r="P85" t="s">
        <v>3</v>
      </c>
      <c r="Q85">
        <v>3</v>
      </c>
      <c r="R85">
        <v>14.103878835978833</v>
      </c>
      <c r="S85">
        <v>4.6341285749955281</v>
      </c>
      <c r="U85" t="s">
        <v>3</v>
      </c>
      <c r="V85" t="s">
        <v>24</v>
      </c>
      <c r="W85">
        <v>193</v>
      </c>
      <c r="X85">
        <f t="shared" si="5"/>
        <v>0.74095297440395791</v>
      </c>
      <c r="Y85">
        <f t="shared" si="6"/>
        <v>0.75478512614488225</v>
      </c>
      <c r="Z85">
        <f t="shared" si="7"/>
        <v>4.6341285749955281</v>
      </c>
      <c r="AA85">
        <f t="shared" si="8"/>
        <v>0.74786905027442008</v>
      </c>
      <c r="AB85">
        <f t="shared" si="9"/>
        <v>2.6944568505702051</v>
      </c>
    </row>
    <row r="86" spans="1:28" x14ac:dyDescent="0.3">
      <c r="A86" s="1" t="s">
        <v>13</v>
      </c>
      <c r="B86" s="1" t="s">
        <v>19</v>
      </c>
      <c r="C86" s="1">
        <v>44396</v>
      </c>
      <c r="D86">
        <v>200</v>
      </c>
      <c r="E86" t="s">
        <v>0</v>
      </c>
      <c r="F86">
        <v>1</v>
      </c>
      <c r="G86">
        <v>29.619576908212558</v>
      </c>
      <c r="H86" t="s">
        <v>1</v>
      </c>
      <c r="I86">
        <v>1</v>
      </c>
      <c r="J86">
        <v>32.191279666666667</v>
      </c>
      <c r="K86">
        <v>1.086824425832398</v>
      </c>
      <c r="L86" t="s">
        <v>2</v>
      </c>
      <c r="M86">
        <v>1</v>
      </c>
      <c r="N86">
        <v>19.706319077102805</v>
      </c>
      <c r="O86">
        <v>0.66531399615093334</v>
      </c>
      <c r="P86" t="s">
        <v>3</v>
      </c>
      <c r="Q86">
        <v>1</v>
      </c>
      <c r="R86">
        <v>22.356416093023256</v>
      </c>
      <c r="S86">
        <v>0.75478512614488225</v>
      </c>
      <c r="U86" t="s">
        <v>3</v>
      </c>
      <c r="V86" t="s">
        <v>19</v>
      </c>
      <c r="W86">
        <v>193</v>
      </c>
      <c r="X86">
        <f t="shared" si="5"/>
        <v>0.57731714555299996</v>
      </c>
      <c r="Y86">
        <f t="shared" si="6"/>
        <v>0.74095297440395791</v>
      </c>
      <c r="Z86">
        <f t="shared" si="7"/>
        <v>0.75478512614488225</v>
      </c>
      <c r="AA86">
        <f t="shared" si="8"/>
        <v>0.65913505997847888</v>
      </c>
      <c r="AB86">
        <f t="shared" si="9"/>
        <v>0.74786905027442008</v>
      </c>
    </row>
    <row r="87" spans="1:28" x14ac:dyDescent="0.3">
      <c r="A87" s="1" t="s">
        <v>13</v>
      </c>
      <c r="B87" s="1" t="s">
        <v>19</v>
      </c>
      <c r="C87" s="1">
        <v>44396</v>
      </c>
      <c r="D87">
        <v>200</v>
      </c>
      <c r="E87" t="s">
        <v>0</v>
      </c>
      <c r="F87">
        <v>2</v>
      </c>
      <c r="G87">
        <v>34.274068499999991</v>
      </c>
      <c r="H87" t="s">
        <v>1</v>
      </c>
      <c r="I87">
        <v>2</v>
      </c>
      <c r="J87">
        <v>25.569088499999999</v>
      </c>
      <c r="K87">
        <v>0.74601848041471952</v>
      </c>
      <c r="L87" t="s">
        <v>2</v>
      </c>
      <c r="M87">
        <v>2</v>
      </c>
      <c r="N87">
        <v>23.48927445</v>
      </c>
      <c r="O87">
        <v>0.68533662555993335</v>
      </c>
      <c r="P87" t="s">
        <v>3</v>
      </c>
      <c r="Q87">
        <v>2</v>
      </c>
      <c r="R87">
        <v>25.395472999999996</v>
      </c>
      <c r="S87">
        <v>0.74095297440395791</v>
      </c>
      <c r="U87" t="s">
        <v>3</v>
      </c>
      <c r="V87" t="s">
        <v>19</v>
      </c>
      <c r="W87">
        <v>200</v>
      </c>
      <c r="X87">
        <f t="shared" si="5"/>
        <v>0.57731714555299996</v>
      </c>
      <c r="Y87">
        <f t="shared" si="6"/>
        <v>0.74095297440395791</v>
      </c>
      <c r="Z87">
        <f t="shared" si="7"/>
        <v>0.86718418934389407</v>
      </c>
      <c r="AA87">
        <f t="shared" si="8"/>
        <v>0.65913505997847888</v>
      </c>
      <c r="AB87">
        <f t="shared" si="9"/>
        <v>0.80406858187392594</v>
      </c>
    </row>
    <row r="88" spans="1:28" x14ac:dyDescent="0.3">
      <c r="A88" s="1" t="s">
        <v>13</v>
      </c>
      <c r="B88" s="1" t="s">
        <v>19</v>
      </c>
      <c r="C88" s="1">
        <v>44396</v>
      </c>
      <c r="D88">
        <v>200</v>
      </c>
      <c r="E88" t="s">
        <v>0</v>
      </c>
      <c r="F88">
        <v>3</v>
      </c>
      <c r="G88">
        <v>36.322861243523313</v>
      </c>
      <c r="H88" t="s">
        <v>1</v>
      </c>
      <c r="I88">
        <v>3</v>
      </c>
      <c r="J88">
        <v>23.44787606217616</v>
      </c>
      <c r="K88">
        <v>0.64554044641395436</v>
      </c>
      <c r="L88" t="s">
        <v>2</v>
      </c>
      <c r="M88">
        <v>3</v>
      </c>
      <c r="N88">
        <v>22.575633846153842</v>
      </c>
      <c r="O88">
        <v>0.62152685865790036</v>
      </c>
      <c r="P88" t="s">
        <v>3</v>
      </c>
      <c r="Q88">
        <v>3</v>
      </c>
      <c r="R88">
        <v>20.969810571428571</v>
      </c>
      <c r="S88">
        <v>0.57731714555299996</v>
      </c>
      <c r="U88" t="s">
        <v>3</v>
      </c>
      <c r="V88" t="s">
        <v>19</v>
      </c>
      <c r="W88">
        <v>200</v>
      </c>
      <c r="X88">
        <f t="shared" si="5"/>
        <v>0.57731714555299996</v>
      </c>
      <c r="Y88">
        <f t="shared" si="6"/>
        <v>0.86361565241403182</v>
      </c>
      <c r="Z88">
        <f t="shared" si="7"/>
        <v>0.86718418934389407</v>
      </c>
      <c r="AA88">
        <f t="shared" si="8"/>
        <v>0.72046639898351583</v>
      </c>
      <c r="AB88">
        <f t="shared" si="9"/>
        <v>0.86539992087896289</v>
      </c>
    </row>
    <row r="89" spans="1:28" x14ac:dyDescent="0.3">
      <c r="A89" s="1" t="s">
        <v>14</v>
      </c>
      <c r="B89" s="1" t="s">
        <v>22</v>
      </c>
      <c r="C89" s="1">
        <v>44396</v>
      </c>
      <c r="D89">
        <v>200</v>
      </c>
      <c r="E89" t="s">
        <v>0</v>
      </c>
      <c r="F89">
        <v>1</v>
      </c>
      <c r="G89">
        <v>27.204729481865286</v>
      </c>
      <c r="H89" t="s">
        <v>1</v>
      </c>
      <c r="I89">
        <v>1</v>
      </c>
      <c r="J89">
        <v>20.387119999999996</v>
      </c>
      <c r="K89">
        <v>0.74939616707418766</v>
      </c>
      <c r="L89" t="s">
        <v>2</v>
      </c>
      <c r="M89">
        <v>1</v>
      </c>
      <c r="N89">
        <v>19.564583585365853</v>
      </c>
      <c r="O89">
        <v>0.71916111492333101</v>
      </c>
      <c r="P89" t="s">
        <v>3</v>
      </c>
      <c r="Q89">
        <v>1</v>
      </c>
      <c r="R89">
        <v>23.591511282051282</v>
      </c>
      <c r="S89">
        <v>0.86718418934389407</v>
      </c>
      <c r="U89" t="s">
        <v>3</v>
      </c>
      <c r="V89" t="s">
        <v>22</v>
      </c>
      <c r="W89">
        <v>200</v>
      </c>
      <c r="X89">
        <f t="shared" si="5"/>
        <v>0.86361565241403182</v>
      </c>
      <c r="Y89">
        <f t="shared" si="6"/>
        <v>0.86718418934389407</v>
      </c>
      <c r="Z89">
        <f t="shared" si="7"/>
        <v>1.0165766375827878</v>
      </c>
      <c r="AA89">
        <f t="shared" si="8"/>
        <v>0.86539992087896289</v>
      </c>
      <c r="AB89">
        <f t="shared" si="9"/>
        <v>0.94188041346334095</v>
      </c>
    </row>
    <row r="90" spans="1:28" x14ac:dyDescent="0.3">
      <c r="A90" s="1" t="s">
        <v>14</v>
      </c>
      <c r="B90" s="1" t="s">
        <v>22</v>
      </c>
      <c r="C90" s="1">
        <v>44396</v>
      </c>
      <c r="D90">
        <v>200</v>
      </c>
      <c r="E90" t="s">
        <v>0</v>
      </c>
      <c r="F90">
        <v>3</v>
      </c>
      <c r="G90">
        <v>25.152351222222219</v>
      </c>
      <c r="H90" t="s">
        <v>1</v>
      </c>
      <c r="I90">
        <v>2</v>
      </c>
      <c r="J90">
        <v>23.439630456852793</v>
      </c>
      <c r="K90">
        <v>0.93190613671710221</v>
      </c>
      <c r="L90" t="s">
        <v>2</v>
      </c>
      <c r="M90">
        <v>2</v>
      </c>
      <c r="N90">
        <v>26.091370801886796</v>
      </c>
      <c r="O90">
        <v>1.0373332723993989</v>
      </c>
      <c r="P90" t="s">
        <v>3</v>
      </c>
      <c r="Q90">
        <v>2</v>
      </c>
      <c r="R90">
        <v>21.721964210526313</v>
      </c>
      <c r="S90">
        <v>0.86361565241403182</v>
      </c>
      <c r="U90" t="s">
        <v>3</v>
      </c>
      <c r="V90" t="s">
        <v>22</v>
      </c>
      <c r="W90">
        <v>200</v>
      </c>
      <c r="X90">
        <f t="shared" si="5"/>
        <v>0.55717320721730468</v>
      </c>
      <c r="Y90">
        <f t="shared" si="6"/>
        <v>0.86361565241403182</v>
      </c>
      <c r="Z90">
        <f t="shared" si="7"/>
        <v>1.0165766375827878</v>
      </c>
      <c r="AA90">
        <f t="shared" si="8"/>
        <v>0.71039442981566825</v>
      </c>
      <c r="AB90">
        <f t="shared" si="9"/>
        <v>0.94009614499840977</v>
      </c>
    </row>
    <row r="91" spans="1:28" x14ac:dyDescent="0.3">
      <c r="A91" s="1" t="s">
        <v>14</v>
      </c>
      <c r="B91" s="1" t="s">
        <v>22</v>
      </c>
      <c r="C91" s="1">
        <v>44396</v>
      </c>
      <c r="D91">
        <v>200</v>
      </c>
      <c r="E91" t="s">
        <v>0</v>
      </c>
      <c r="F91">
        <v>3</v>
      </c>
      <c r="G91">
        <v>24.128670909090904</v>
      </c>
      <c r="H91" t="s">
        <v>1</v>
      </c>
      <c r="I91">
        <v>3</v>
      </c>
      <c r="J91">
        <v>28.152308317307693</v>
      </c>
      <c r="K91">
        <v>1.1667575235858023</v>
      </c>
      <c r="L91" t="s">
        <v>2</v>
      </c>
      <c r="M91">
        <v>3</v>
      </c>
      <c r="N91">
        <v>20.605496539999997</v>
      </c>
      <c r="O91">
        <v>0.85398390228930976</v>
      </c>
      <c r="P91" t="s">
        <v>3</v>
      </c>
      <c r="Q91">
        <v>3</v>
      </c>
      <c r="R91">
        <v>24.52864314210526</v>
      </c>
      <c r="S91">
        <v>1.0165766375827878</v>
      </c>
      <c r="U91" t="s">
        <v>3</v>
      </c>
      <c r="V91" t="s">
        <v>22</v>
      </c>
      <c r="W91">
        <v>200</v>
      </c>
      <c r="X91">
        <f t="shared" si="5"/>
        <v>0.55717320721730468</v>
      </c>
      <c r="Y91">
        <f t="shared" si="6"/>
        <v>0.84645200684976962</v>
      </c>
      <c r="Z91">
        <f t="shared" si="7"/>
        <v>1.0165766375827878</v>
      </c>
      <c r="AA91">
        <f t="shared" si="8"/>
        <v>0.70181260703353709</v>
      </c>
      <c r="AB91">
        <f t="shared" si="9"/>
        <v>0.93151432221627872</v>
      </c>
    </row>
    <row r="92" spans="1:28" x14ac:dyDescent="0.3">
      <c r="A92" s="1" t="s">
        <v>13</v>
      </c>
      <c r="B92" s="1" t="s">
        <v>20</v>
      </c>
      <c r="C92" s="1">
        <v>44396</v>
      </c>
      <c r="D92">
        <v>200</v>
      </c>
      <c r="E92" t="s">
        <v>0</v>
      </c>
      <c r="F92">
        <v>1</v>
      </c>
      <c r="G92">
        <v>107.18213039999998</v>
      </c>
      <c r="H92" t="s">
        <v>1</v>
      </c>
      <c r="I92">
        <v>1</v>
      </c>
      <c r="J92">
        <v>111.86675824390245</v>
      </c>
      <c r="K92">
        <v>1.0437071723282567</v>
      </c>
      <c r="L92" t="s">
        <v>2</v>
      </c>
      <c r="M92">
        <v>1</v>
      </c>
      <c r="N92">
        <v>134.52363550000001</v>
      </c>
      <c r="O92">
        <v>1.2550938761709858</v>
      </c>
      <c r="P92" t="s">
        <v>3</v>
      </c>
      <c r="Q92">
        <v>1</v>
      </c>
      <c r="R92">
        <v>59.719011351351355</v>
      </c>
      <c r="S92">
        <v>0.55717320721730468</v>
      </c>
      <c r="U92" t="s">
        <v>3</v>
      </c>
      <c r="V92" t="s">
        <v>20</v>
      </c>
      <c r="W92">
        <v>200</v>
      </c>
      <c r="X92">
        <f t="shared" si="5"/>
        <v>0.55717320721730468</v>
      </c>
      <c r="Y92">
        <f t="shared" si="6"/>
        <v>0.830389646897295</v>
      </c>
      <c r="Z92">
        <f t="shared" si="7"/>
        <v>0.84645200684976962</v>
      </c>
      <c r="AA92">
        <f t="shared" si="8"/>
        <v>0.69378142705729984</v>
      </c>
      <c r="AB92">
        <f t="shared" si="9"/>
        <v>0.83842082687353225</v>
      </c>
    </row>
    <row r="93" spans="1:28" x14ac:dyDescent="0.3">
      <c r="A93" s="1" t="s">
        <v>13</v>
      </c>
      <c r="B93" s="1" t="s">
        <v>20</v>
      </c>
      <c r="C93" s="1">
        <v>44396</v>
      </c>
      <c r="D93">
        <v>200</v>
      </c>
      <c r="E93" t="s">
        <v>0</v>
      </c>
      <c r="F93">
        <v>2</v>
      </c>
      <c r="G93">
        <v>60.388611767676771</v>
      </c>
      <c r="H93" t="s">
        <v>1</v>
      </c>
      <c r="I93">
        <v>2</v>
      </c>
      <c r="J93">
        <v>114.22111948717946</v>
      </c>
      <c r="K93">
        <v>1.8914347613520857</v>
      </c>
      <c r="L93" t="s">
        <v>2</v>
      </c>
      <c r="M93">
        <v>2</v>
      </c>
      <c r="N93">
        <v>108.48121258883246</v>
      </c>
      <c r="O93">
        <v>1.7963852689009392</v>
      </c>
      <c r="P93" t="s">
        <v>3</v>
      </c>
      <c r="Q93">
        <v>2</v>
      </c>
      <c r="R93">
        <v>51.116061621621618</v>
      </c>
      <c r="S93">
        <v>0.84645200684976962</v>
      </c>
      <c r="U93" t="s">
        <v>3</v>
      </c>
      <c r="V93" t="s">
        <v>20</v>
      </c>
      <c r="W93">
        <v>200</v>
      </c>
      <c r="X93">
        <f t="shared" si="5"/>
        <v>0.830389646897295</v>
      </c>
      <c r="Y93">
        <f t="shared" si="6"/>
        <v>0.84645200684976962</v>
      </c>
      <c r="Z93">
        <f t="shared" si="7"/>
        <v>1.037101469237272</v>
      </c>
      <c r="AA93">
        <f t="shared" si="8"/>
        <v>0.83842082687353225</v>
      </c>
      <c r="AB93">
        <f t="shared" si="9"/>
        <v>0.9417767380435208</v>
      </c>
    </row>
    <row r="94" spans="1:28" x14ac:dyDescent="0.3">
      <c r="A94" s="1" t="s">
        <v>13</v>
      </c>
      <c r="B94" s="1" t="s">
        <v>20</v>
      </c>
      <c r="C94" s="1">
        <v>44396</v>
      </c>
      <c r="D94">
        <v>200</v>
      </c>
      <c r="E94" t="s">
        <v>0</v>
      </c>
      <c r="F94">
        <v>3</v>
      </c>
      <c r="G94">
        <v>60.067959999999999</v>
      </c>
      <c r="H94" t="s">
        <v>1</v>
      </c>
      <c r="I94">
        <v>3</v>
      </c>
      <c r="J94">
        <v>128.41300731707318</v>
      </c>
      <c r="K94">
        <v>2.1377953790518802</v>
      </c>
      <c r="L94" t="s">
        <v>2</v>
      </c>
      <c r="M94">
        <v>3</v>
      </c>
      <c r="N94">
        <v>107.45314702702701</v>
      </c>
      <c r="O94">
        <v>1.7888596021410919</v>
      </c>
      <c r="P94" t="s">
        <v>3</v>
      </c>
      <c r="Q94">
        <v>3</v>
      </c>
      <c r="R94">
        <v>49.87981209424084</v>
      </c>
      <c r="S94">
        <v>0.830389646897295</v>
      </c>
      <c r="U94" t="s">
        <v>3</v>
      </c>
      <c r="V94" t="s">
        <v>20</v>
      </c>
      <c r="W94">
        <v>200</v>
      </c>
      <c r="X94">
        <f t="shared" si="5"/>
        <v>0.830389646897295</v>
      </c>
      <c r="Y94">
        <f t="shared" si="6"/>
        <v>0.89343421204689311</v>
      </c>
      <c r="Z94">
        <f t="shared" si="7"/>
        <v>1.037101469237272</v>
      </c>
      <c r="AA94">
        <f t="shared" si="8"/>
        <v>0.86191192947209405</v>
      </c>
      <c r="AB94">
        <f t="shared" si="9"/>
        <v>0.96526784064208249</v>
      </c>
    </row>
    <row r="95" spans="1:28" x14ac:dyDescent="0.3">
      <c r="A95" s="1" t="s">
        <v>14</v>
      </c>
      <c r="B95" s="1" t="s">
        <v>23</v>
      </c>
      <c r="C95" s="1">
        <v>44396</v>
      </c>
      <c r="D95">
        <v>200</v>
      </c>
      <c r="E95" t="s">
        <v>0</v>
      </c>
      <c r="F95">
        <v>1</v>
      </c>
      <c r="G95">
        <v>23.492185641025642</v>
      </c>
      <c r="H95" t="s">
        <v>1</v>
      </c>
      <c r="I95">
        <v>1</v>
      </c>
      <c r="J95">
        <v>59.270610947368418</v>
      </c>
      <c r="K95">
        <v>2.5229926177605639</v>
      </c>
      <c r="L95" t="s">
        <v>2</v>
      </c>
      <c r="M95">
        <v>1</v>
      </c>
      <c r="N95">
        <v>65.376836576354663</v>
      </c>
      <c r="O95">
        <v>2.7829184382990593</v>
      </c>
      <c r="P95" t="s">
        <v>3</v>
      </c>
      <c r="Q95">
        <v>1</v>
      </c>
      <c r="R95">
        <v>24.36378024390244</v>
      </c>
      <c r="S95">
        <v>1.037101469237272</v>
      </c>
      <c r="U95" t="s">
        <v>3</v>
      </c>
      <c r="V95" t="s">
        <v>23</v>
      </c>
      <c r="W95">
        <v>200</v>
      </c>
      <c r="X95">
        <f t="shared" si="5"/>
        <v>0.89088991039136201</v>
      </c>
      <c r="Y95">
        <f t="shared" si="6"/>
        <v>0.89343421204689311</v>
      </c>
      <c r="Z95">
        <f t="shared" si="7"/>
        <v>1.037101469237272</v>
      </c>
      <c r="AA95">
        <f t="shared" si="8"/>
        <v>0.89216206121912756</v>
      </c>
      <c r="AB95">
        <f t="shared" si="9"/>
        <v>0.96526784064208249</v>
      </c>
    </row>
    <row r="96" spans="1:28" x14ac:dyDescent="0.3">
      <c r="A96" s="1" t="s">
        <v>14</v>
      </c>
      <c r="B96" s="1" t="s">
        <v>23</v>
      </c>
      <c r="C96" s="1">
        <v>44396</v>
      </c>
      <c r="D96">
        <v>200</v>
      </c>
      <c r="E96" t="s">
        <v>0</v>
      </c>
      <c r="F96">
        <v>2</v>
      </c>
      <c r="G96">
        <v>22.142909079999999</v>
      </c>
      <c r="H96" t="s">
        <v>1</v>
      </c>
      <c r="I96">
        <v>2</v>
      </c>
      <c r="J96">
        <v>61.640253897435898</v>
      </c>
      <c r="K96">
        <v>2.7837468724066992</v>
      </c>
      <c r="L96" t="s">
        <v>2</v>
      </c>
      <c r="M96">
        <v>2</v>
      </c>
      <c r="N96">
        <v>54.811922439024393</v>
      </c>
      <c r="O96">
        <v>2.4753713363043079</v>
      </c>
      <c r="P96" t="s">
        <v>3</v>
      </c>
      <c r="Q96">
        <v>2</v>
      </c>
      <c r="R96">
        <v>19.783232526315793</v>
      </c>
      <c r="S96">
        <v>0.89343421204689311</v>
      </c>
      <c r="U96" t="s">
        <v>3</v>
      </c>
      <c r="V96" t="s">
        <v>23</v>
      </c>
      <c r="W96">
        <v>200</v>
      </c>
      <c r="X96">
        <f t="shared" si="5"/>
        <v>0.84175600876450418</v>
      </c>
      <c r="Y96">
        <f t="shared" si="6"/>
        <v>0.89088991039136201</v>
      </c>
      <c r="Z96">
        <f t="shared" si="7"/>
        <v>0.89343421204689311</v>
      </c>
      <c r="AA96">
        <f t="shared" si="8"/>
        <v>0.86632295957793315</v>
      </c>
      <c r="AB96">
        <f t="shared" si="9"/>
        <v>0.89216206121912756</v>
      </c>
    </row>
    <row r="97" spans="1:28" x14ac:dyDescent="0.3">
      <c r="A97" s="1" t="s">
        <v>14</v>
      </c>
      <c r="B97" s="1" t="s">
        <v>23</v>
      </c>
      <c r="C97" s="1">
        <v>44396</v>
      </c>
      <c r="D97">
        <v>200</v>
      </c>
      <c r="E97" t="s">
        <v>0</v>
      </c>
      <c r="F97">
        <v>3</v>
      </c>
      <c r="G97">
        <v>22.225589999999993</v>
      </c>
      <c r="H97" t="s">
        <v>1</v>
      </c>
      <c r="I97">
        <v>3</v>
      </c>
      <c r="J97">
        <v>59.582615149999988</v>
      </c>
      <c r="K97">
        <v>2.6808114047816054</v>
      </c>
      <c r="L97" t="s">
        <v>2</v>
      </c>
      <c r="M97">
        <v>3</v>
      </c>
      <c r="N97">
        <v>59.593024472361826</v>
      </c>
      <c r="O97">
        <v>2.6812797533096688</v>
      </c>
      <c r="P97" t="s">
        <v>3</v>
      </c>
      <c r="Q97">
        <v>3</v>
      </c>
      <c r="R97">
        <v>19.800553883495144</v>
      </c>
      <c r="S97">
        <v>0.89088991039136201</v>
      </c>
      <c r="U97" t="s">
        <v>3</v>
      </c>
      <c r="V97" t="s">
        <v>23</v>
      </c>
      <c r="W97">
        <v>200</v>
      </c>
      <c r="X97">
        <f t="shared" si="5"/>
        <v>0.79843042732032432</v>
      </c>
      <c r="Y97">
        <f t="shared" si="6"/>
        <v>0.84175600876450418</v>
      </c>
      <c r="Z97">
        <f t="shared" si="7"/>
        <v>0.89088991039136201</v>
      </c>
      <c r="AA97">
        <f t="shared" si="8"/>
        <v>0.82009321804241431</v>
      </c>
      <c r="AB97">
        <f t="shared" si="9"/>
        <v>0.86632295957793315</v>
      </c>
    </row>
    <row r="98" spans="1:28" x14ac:dyDescent="0.3">
      <c r="A98" s="1" t="s">
        <v>13</v>
      </c>
      <c r="B98" s="1" t="s">
        <v>21</v>
      </c>
      <c r="C98" s="1">
        <v>44396</v>
      </c>
      <c r="D98">
        <v>200</v>
      </c>
      <c r="E98" t="s">
        <v>0</v>
      </c>
      <c r="F98">
        <v>1</v>
      </c>
      <c r="G98">
        <v>27.920167767441857</v>
      </c>
      <c r="H98" t="s">
        <v>1</v>
      </c>
      <c r="I98">
        <v>1</v>
      </c>
      <c r="J98">
        <v>15.022918958333335</v>
      </c>
      <c r="K98">
        <v>0.53806693009387274</v>
      </c>
      <c r="L98" t="s">
        <v>2</v>
      </c>
      <c r="M98">
        <v>1</v>
      </c>
      <c r="N98">
        <v>19.774311121951222</v>
      </c>
      <c r="O98">
        <v>0.70824470994083188</v>
      </c>
      <c r="P98" t="s">
        <v>3</v>
      </c>
      <c r="Q98">
        <v>1</v>
      </c>
      <c r="R98">
        <v>23.501968983957216</v>
      </c>
      <c r="S98">
        <v>0.84175600876450418</v>
      </c>
      <c r="U98" t="s">
        <v>3</v>
      </c>
      <c r="V98" t="s">
        <v>21</v>
      </c>
      <c r="W98">
        <v>200</v>
      </c>
      <c r="X98">
        <f t="shared" si="5"/>
        <v>0.79843042732032432</v>
      </c>
      <c r="Y98">
        <f t="shared" si="6"/>
        <v>0.84175600876450418</v>
      </c>
      <c r="Z98">
        <f t="shared" si="7"/>
        <v>0.95862986588455135</v>
      </c>
      <c r="AA98">
        <f t="shared" si="8"/>
        <v>0.82009321804241431</v>
      </c>
      <c r="AB98">
        <f t="shared" si="9"/>
        <v>0.90019293732452776</v>
      </c>
    </row>
    <row r="99" spans="1:28" x14ac:dyDescent="0.3">
      <c r="A99" s="1" t="s">
        <v>13</v>
      </c>
      <c r="B99" s="1" t="s">
        <v>21</v>
      </c>
      <c r="C99" s="1">
        <v>44396</v>
      </c>
      <c r="D99">
        <v>200</v>
      </c>
      <c r="E99" t="s">
        <v>0</v>
      </c>
      <c r="F99">
        <v>2</v>
      </c>
      <c r="G99">
        <v>24.037718000000002</v>
      </c>
      <c r="H99" t="s">
        <v>1</v>
      </c>
      <c r="I99">
        <v>2</v>
      </c>
      <c r="J99">
        <v>14.19705564102564</v>
      </c>
      <c r="K99">
        <v>0.59061578312157748</v>
      </c>
      <c r="L99" t="s">
        <v>2</v>
      </c>
      <c r="M99">
        <v>2</v>
      </c>
      <c r="N99">
        <v>18.946603918918917</v>
      </c>
      <c r="O99">
        <v>0.78820310309484931</v>
      </c>
      <c r="P99" t="s">
        <v>3</v>
      </c>
      <c r="Q99">
        <v>2</v>
      </c>
      <c r="R99">
        <v>19.192445454545453</v>
      </c>
      <c r="S99">
        <v>0.79843042732032432</v>
      </c>
      <c r="U99" t="s">
        <v>3</v>
      </c>
      <c r="V99" t="s">
        <v>21</v>
      </c>
      <c r="W99">
        <v>200</v>
      </c>
      <c r="X99">
        <f t="shared" si="5"/>
        <v>0.79843042732032432</v>
      </c>
      <c r="Y99">
        <f t="shared" si="6"/>
        <v>0.81344027459718016</v>
      </c>
      <c r="Z99">
        <f t="shared" si="7"/>
        <v>0.95862986588455135</v>
      </c>
      <c r="AA99">
        <f t="shared" si="8"/>
        <v>0.80593535095875224</v>
      </c>
      <c r="AB99">
        <f t="shared" si="9"/>
        <v>0.8860350702408657</v>
      </c>
    </row>
    <row r="100" spans="1:28" x14ac:dyDescent="0.3">
      <c r="A100" s="1" t="s">
        <v>13</v>
      </c>
      <c r="B100" s="1" t="s">
        <v>21</v>
      </c>
      <c r="C100" s="1">
        <v>44396</v>
      </c>
      <c r="D100">
        <v>200</v>
      </c>
      <c r="E100" t="s">
        <v>0</v>
      </c>
      <c r="F100">
        <v>3</v>
      </c>
      <c r="G100">
        <v>22.154813235897436</v>
      </c>
      <c r="H100" t="s">
        <v>1</v>
      </c>
      <c r="I100">
        <v>3</v>
      </c>
      <c r="J100">
        <v>14.462901944444443</v>
      </c>
      <c r="K100">
        <v>0.65281082672410928</v>
      </c>
      <c r="L100" t="s">
        <v>2</v>
      </c>
      <c r="M100">
        <v>3</v>
      </c>
      <c r="N100">
        <v>16.496249523809524</v>
      </c>
      <c r="O100">
        <v>0.74458987075010219</v>
      </c>
      <c r="P100" t="s">
        <v>3</v>
      </c>
      <c r="Q100">
        <v>3</v>
      </c>
      <c r="R100">
        <v>21.238265641025642</v>
      </c>
      <c r="S100">
        <v>0.95862986588455135</v>
      </c>
      <c r="U100" t="s">
        <v>3</v>
      </c>
      <c r="V100" t="s">
        <v>21</v>
      </c>
      <c r="W100">
        <v>200</v>
      </c>
      <c r="X100">
        <f t="shared" si="5"/>
        <v>0.81344027459718016</v>
      </c>
      <c r="Y100">
        <f t="shared" si="6"/>
        <v>0.86910725793769983</v>
      </c>
      <c r="Z100">
        <f t="shared" si="7"/>
        <v>0.95862986588455135</v>
      </c>
      <c r="AA100">
        <f t="shared" si="8"/>
        <v>0.84127376626743999</v>
      </c>
      <c r="AB100">
        <f t="shared" si="9"/>
        <v>0.91386856191112553</v>
      </c>
    </row>
    <row r="101" spans="1:28" x14ac:dyDescent="0.3">
      <c r="A101" s="1" t="s">
        <v>14</v>
      </c>
      <c r="B101" s="1" t="s">
        <v>24</v>
      </c>
      <c r="C101" s="1">
        <v>44396</v>
      </c>
      <c r="D101">
        <v>200</v>
      </c>
      <c r="E101" t="s">
        <v>0</v>
      </c>
      <c r="F101">
        <v>1</v>
      </c>
      <c r="G101">
        <v>17.74102697435897</v>
      </c>
      <c r="H101" t="s">
        <v>1</v>
      </c>
      <c r="I101">
        <v>1</v>
      </c>
      <c r="J101">
        <v>13.085914871794873</v>
      </c>
      <c r="K101">
        <v>0.7376075179135847</v>
      </c>
      <c r="L101" t="s">
        <v>2</v>
      </c>
      <c r="M101">
        <v>1</v>
      </c>
      <c r="N101">
        <v>12.9868425</v>
      </c>
      <c r="O101">
        <v>0.73202315281803176</v>
      </c>
      <c r="P101" t="s">
        <v>3</v>
      </c>
      <c r="Q101">
        <v>1</v>
      </c>
      <c r="R101">
        <v>14.431265853658541</v>
      </c>
      <c r="S101">
        <v>0.81344027459718016</v>
      </c>
      <c r="U101" t="s">
        <v>3</v>
      </c>
      <c r="V101" t="s">
        <v>24</v>
      </c>
      <c r="W101">
        <v>200</v>
      </c>
      <c r="X101">
        <f t="shared" si="5"/>
        <v>0.81344027459718016</v>
      </c>
      <c r="Y101">
        <f t="shared" si="6"/>
        <v>0.86910725793769983</v>
      </c>
      <c r="Z101">
        <f t="shared" si="7"/>
        <v>0.92782162244458632</v>
      </c>
      <c r="AA101">
        <f t="shared" si="8"/>
        <v>0.84127376626743999</v>
      </c>
      <c r="AB101">
        <f t="shared" si="9"/>
        <v>0.89846444019114302</v>
      </c>
    </row>
    <row r="102" spans="1:28" x14ac:dyDescent="0.3">
      <c r="A102" s="1" t="s">
        <v>14</v>
      </c>
      <c r="B102" s="1" t="s">
        <v>24</v>
      </c>
      <c r="C102" s="1">
        <v>44396</v>
      </c>
      <c r="D102">
        <v>200</v>
      </c>
      <c r="E102" t="s">
        <v>0</v>
      </c>
      <c r="F102">
        <v>2</v>
      </c>
      <c r="G102">
        <v>15.325703333333333</v>
      </c>
      <c r="H102" t="s">
        <v>1</v>
      </c>
      <c r="I102">
        <v>2</v>
      </c>
      <c r="J102">
        <v>13.836041999999997</v>
      </c>
      <c r="K102">
        <v>0.90279980625141498</v>
      </c>
      <c r="L102" t="s">
        <v>2</v>
      </c>
      <c r="M102">
        <v>2</v>
      </c>
      <c r="N102">
        <v>13.317750238095238</v>
      </c>
      <c r="O102">
        <v>0.86898134124319071</v>
      </c>
      <c r="P102" t="s">
        <v>3</v>
      </c>
      <c r="Q102">
        <v>2</v>
      </c>
      <c r="R102">
        <v>13.31968</v>
      </c>
      <c r="S102">
        <v>0.86910725793769983</v>
      </c>
      <c r="U102" t="s">
        <v>3</v>
      </c>
      <c r="V102" t="s">
        <v>24</v>
      </c>
      <c r="W102">
        <v>200</v>
      </c>
      <c r="X102">
        <f t="shared" si="5"/>
        <v>0.86910725793769983</v>
      </c>
      <c r="Y102">
        <f t="shared" si="6"/>
        <v>0.92782162244458632</v>
      </c>
      <c r="Z102">
        <f t="shared" si="7"/>
        <v>0.97990262109131299</v>
      </c>
      <c r="AA102">
        <f t="shared" si="8"/>
        <v>0.89846444019114302</v>
      </c>
      <c r="AB102">
        <f t="shared" si="9"/>
        <v>0.95386212176794971</v>
      </c>
    </row>
    <row r="103" spans="1:28" x14ac:dyDescent="0.3">
      <c r="A103" s="1" t="s">
        <v>14</v>
      </c>
      <c r="B103" s="1" t="s">
        <v>24</v>
      </c>
      <c r="C103" s="1">
        <v>44396</v>
      </c>
      <c r="D103">
        <v>200</v>
      </c>
      <c r="E103" t="s">
        <v>0</v>
      </c>
      <c r="F103">
        <v>3</v>
      </c>
      <c r="G103">
        <v>14.57856042857143</v>
      </c>
      <c r="H103" t="s">
        <v>1</v>
      </c>
      <c r="I103">
        <v>3</v>
      </c>
      <c r="J103">
        <v>12.679570849999999</v>
      </c>
      <c r="K103">
        <v>0.86974093993191925</v>
      </c>
      <c r="L103" t="s">
        <v>2</v>
      </c>
      <c r="M103">
        <v>3</v>
      </c>
      <c r="N103">
        <v>12.978138095238096</v>
      </c>
      <c r="O103">
        <v>0.89022082521969825</v>
      </c>
      <c r="P103" t="s">
        <v>3</v>
      </c>
      <c r="Q103">
        <v>3</v>
      </c>
      <c r="R103">
        <v>13.526303589743588</v>
      </c>
      <c r="S103">
        <v>0.92782162244458632</v>
      </c>
      <c r="U103" t="s">
        <v>3</v>
      </c>
      <c r="V103" t="s">
        <v>24</v>
      </c>
      <c r="W103">
        <v>200</v>
      </c>
      <c r="X103">
        <f t="shared" si="5"/>
        <v>0.73858123927131603</v>
      </c>
      <c r="Y103">
        <f t="shared" si="6"/>
        <v>0.92782162244458632</v>
      </c>
      <c r="Z103">
        <f t="shared" si="7"/>
        <v>0.97990262109131299</v>
      </c>
      <c r="AA103">
        <f t="shared" si="8"/>
        <v>0.83320143085795118</v>
      </c>
      <c r="AB103">
        <f t="shared" si="9"/>
        <v>0.95386212176794971</v>
      </c>
    </row>
    <row r="104" spans="1:28" x14ac:dyDescent="0.3">
      <c r="A104" s="1" t="s">
        <v>13</v>
      </c>
      <c r="B104" s="1" t="s">
        <v>19</v>
      </c>
      <c r="C104" s="1">
        <v>44403</v>
      </c>
      <c r="D104">
        <v>207</v>
      </c>
      <c r="E104" t="s">
        <v>0</v>
      </c>
      <c r="F104">
        <v>1</v>
      </c>
      <c r="G104">
        <v>93.824927499999987</v>
      </c>
      <c r="H104" t="s">
        <v>1</v>
      </c>
      <c r="I104">
        <v>1</v>
      </c>
      <c r="J104">
        <v>86.614928482758629</v>
      </c>
      <c r="K104">
        <v>0.9231547605806425</v>
      </c>
      <c r="L104" t="s">
        <v>2</v>
      </c>
      <c r="M104">
        <v>1</v>
      </c>
      <c r="N104">
        <v>71.799124117647054</v>
      </c>
      <c r="O104">
        <v>0.76524571913628248</v>
      </c>
      <c r="P104" t="s">
        <v>3</v>
      </c>
      <c r="Q104">
        <v>1</v>
      </c>
      <c r="R104">
        <v>91.939292380952395</v>
      </c>
      <c r="S104">
        <v>0.97990262109131299</v>
      </c>
      <c r="U104" t="s">
        <v>3</v>
      </c>
      <c r="V104" t="s">
        <v>19</v>
      </c>
      <c r="W104">
        <v>200</v>
      </c>
      <c r="X104">
        <f t="shared" si="5"/>
        <v>0.73858123927131603</v>
      </c>
      <c r="Y104">
        <f t="shared" si="6"/>
        <v>0.8765516961495825</v>
      </c>
      <c r="Z104">
        <f t="shared" si="7"/>
        <v>0.97990262109131299</v>
      </c>
      <c r="AA104">
        <f t="shared" si="8"/>
        <v>0.80756646771044927</v>
      </c>
      <c r="AB104">
        <f t="shared" si="9"/>
        <v>0.9282271586204478</v>
      </c>
    </row>
    <row r="105" spans="1:28" x14ac:dyDescent="0.3">
      <c r="A105" s="1" t="s">
        <v>13</v>
      </c>
      <c r="B105" s="1" t="s">
        <v>19</v>
      </c>
      <c r="C105" s="1">
        <v>44403</v>
      </c>
      <c r="D105">
        <v>207</v>
      </c>
      <c r="E105" t="s">
        <v>0</v>
      </c>
      <c r="F105">
        <v>2</v>
      </c>
      <c r="G105">
        <v>67.815935353535338</v>
      </c>
      <c r="H105" t="s">
        <v>1</v>
      </c>
      <c r="I105">
        <v>2</v>
      </c>
      <c r="J105">
        <v>87.249234695652163</v>
      </c>
      <c r="K105">
        <v>1.2865594825288176</v>
      </c>
      <c r="P105" t="s">
        <v>3</v>
      </c>
      <c r="Q105">
        <v>2</v>
      </c>
      <c r="R105">
        <v>50.087577575757585</v>
      </c>
      <c r="S105">
        <v>0.73858123927131603</v>
      </c>
      <c r="U105" t="s">
        <v>3</v>
      </c>
      <c r="V105" t="s">
        <v>19</v>
      </c>
      <c r="W105">
        <v>207</v>
      </c>
      <c r="X105">
        <f t="shared" si="5"/>
        <v>0.67466364306111548</v>
      </c>
      <c r="Y105">
        <f t="shared" si="6"/>
        <v>0.73858123927131603</v>
      </c>
      <c r="Z105">
        <f t="shared" si="7"/>
        <v>0.8765516961495825</v>
      </c>
      <c r="AA105">
        <f t="shared" si="8"/>
        <v>0.70662244116621575</v>
      </c>
      <c r="AB105">
        <f t="shared" si="9"/>
        <v>0.80756646771044927</v>
      </c>
    </row>
    <row r="106" spans="1:28" x14ac:dyDescent="0.3">
      <c r="A106" s="1" t="s">
        <v>13</v>
      </c>
      <c r="B106" s="1" t="s">
        <v>19</v>
      </c>
      <c r="C106" s="1">
        <v>44403</v>
      </c>
      <c r="D106">
        <v>207</v>
      </c>
      <c r="E106" t="s">
        <v>0</v>
      </c>
      <c r="F106">
        <v>3</v>
      </c>
      <c r="G106">
        <v>84.595531979695423</v>
      </c>
      <c r="H106" t="s">
        <v>1</v>
      </c>
      <c r="I106">
        <v>3</v>
      </c>
      <c r="J106">
        <v>116.81341233644859</v>
      </c>
      <c r="K106">
        <v>1.3808461227536946</v>
      </c>
      <c r="P106" t="s">
        <v>3</v>
      </c>
      <c r="Q106">
        <v>3</v>
      </c>
      <c r="R106">
        <v>74.152357043478276</v>
      </c>
      <c r="S106">
        <v>0.8765516961495825</v>
      </c>
      <c r="U106" t="s">
        <v>3</v>
      </c>
      <c r="V106" t="s">
        <v>19</v>
      </c>
      <c r="W106">
        <v>207</v>
      </c>
      <c r="X106">
        <f t="shared" si="5"/>
        <v>0.39178217821151406</v>
      </c>
      <c r="Y106">
        <f t="shared" si="6"/>
        <v>0.67466364306111548</v>
      </c>
      <c r="Z106">
        <f t="shared" si="7"/>
        <v>0.8765516961495825</v>
      </c>
      <c r="AA106">
        <f t="shared" si="8"/>
        <v>0.53322291063631477</v>
      </c>
      <c r="AB106">
        <f t="shared" si="9"/>
        <v>0.77560766960534899</v>
      </c>
    </row>
    <row r="107" spans="1:28" x14ac:dyDescent="0.3">
      <c r="A107" s="1" t="s">
        <v>14</v>
      </c>
      <c r="B107" s="1" t="s">
        <v>22</v>
      </c>
      <c r="C107" s="1">
        <v>44403</v>
      </c>
      <c r="D107">
        <v>207</v>
      </c>
      <c r="E107" t="s">
        <v>0</v>
      </c>
      <c r="F107">
        <v>1</v>
      </c>
      <c r="G107">
        <v>105.30041542857143</v>
      </c>
      <c r="H107" t="s">
        <v>1</v>
      </c>
      <c r="I107">
        <v>1</v>
      </c>
      <c r="J107">
        <v>74.386992222222233</v>
      </c>
      <c r="K107">
        <v>0.70642638891278886</v>
      </c>
      <c r="P107" t="s">
        <v>3</v>
      </c>
      <c r="Q107">
        <v>1</v>
      </c>
      <c r="R107">
        <v>71.042361888888891</v>
      </c>
      <c r="S107">
        <v>0.67466364306111548</v>
      </c>
      <c r="U107" t="s">
        <v>3</v>
      </c>
      <c r="V107" t="s">
        <v>22</v>
      </c>
      <c r="W107">
        <v>207</v>
      </c>
      <c r="X107">
        <f t="shared" si="5"/>
        <v>0.17682437432945486</v>
      </c>
      <c r="Y107">
        <f t="shared" si="6"/>
        <v>0.39178217821151406</v>
      </c>
      <c r="Z107">
        <f t="shared" si="7"/>
        <v>0.67466364306111548</v>
      </c>
      <c r="AA107">
        <f t="shared" si="8"/>
        <v>0.28430327627048446</v>
      </c>
      <c r="AB107">
        <f t="shared" si="9"/>
        <v>0.53322291063631477</v>
      </c>
    </row>
    <row r="108" spans="1:28" x14ac:dyDescent="0.3">
      <c r="A108" s="1" t="s">
        <v>13</v>
      </c>
      <c r="B108" s="1" t="s">
        <v>20</v>
      </c>
      <c r="C108" s="1">
        <v>44403</v>
      </c>
      <c r="D108">
        <v>207</v>
      </c>
      <c r="E108" t="s">
        <v>0</v>
      </c>
      <c r="F108">
        <v>1</v>
      </c>
      <c r="G108">
        <v>88.068288421052642</v>
      </c>
      <c r="H108" t="s">
        <v>1</v>
      </c>
      <c r="I108">
        <v>1</v>
      </c>
      <c r="J108">
        <v>83.638606583333342</v>
      </c>
      <c r="K108">
        <v>0.94970173808146374</v>
      </c>
      <c r="L108" t="s">
        <v>2</v>
      </c>
      <c r="M108">
        <v>1</v>
      </c>
      <c r="N108">
        <v>381.72192271186447</v>
      </c>
      <c r="O108">
        <v>4.3343856177476727</v>
      </c>
      <c r="P108" t="s">
        <v>3</v>
      </c>
      <c r="Q108">
        <v>1</v>
      </c>
      <c r="R108">
        <v>34.503585868959867</v>
      </c>
      <c r="S108">
        <v>0.39178217821151406</v>
      </c>
      <c r="U108" t="s">
        <v>3</v>
      </c>
      <c r="V108" t="s">
        <v>20</v>
      </c>
      <c r="W108">
        <v>207</v>
      </c>
      <c r="X108">
        <f t="shared" si="5"/>
        <v>0.17682437432945486</v>
      </c>
      <c r="Y108">
        <f t="shared" si="6"/>
        <v>0.39178217821151406</v>
      </c>
      <c r="Z108">
        <f t="shared" si="7"/>
        <v>3.8620343772645263</v>
      </c>
      <c r="AA108">
        <f t="shared" si="8"/>
        <v>0.28430327627048446</v>
      </c>
      <c r="AB108">
        <f t="shared" si="9"/>
        <v>2.1269082777380204</v>
      </c>
    </row>
    <row r="109" spans="1:28" x14ac:dyDescent="0.3">
      <c r="A109" s="1" t="s">
        <v>13</v>
      </c>
      <c r="B109" s="1" t="s">
        <v>20</v>
      </c>
      <c r="C109" s="1">
        <v>44403</v>
      </c>
      <c r="D109">
        <v>207</v>
      </c>
      <c r="E109" t="s">
        <v>0</v>
      </c>
      <c r="F109">
        <v>2</v>
      </c>
      <c r="G109">
        <v>102.85312100000002</v>
      </c>
      <c r="H109" t="s">
        <v>1</v>
      </c>
      <c r="I109">
        <v>2</v>
      </c>
      <c r="J109">
        <v>58.04561476562499</v>
      </c>
      <c r="K109">
        <v>0.56435443281905839</v>
      </c>
      <c r="L109" t="s">
        <v>2</v>
      </c>
      <c r="M109">
        <v>2</v>
      </c>
      <c r="N109">
        <v>49.458684850746259</v>
      </c>
      <c r="O109">
        <v>0.48086712751036742</v>
      </c>
      <c r="P109" t="s">
        <v>3</v>
      </c>
      <c r="Q109">
        <v>2</v>
      </c>
      <c r="R109">
        <v>18.186938768656717</v>
      </c>
      <c r="S109">
        <v>0.17682437432945486</v>
      </c>
      <c r="U109" t="s">
        <v>3</v>
      </c>
      <c r="V109" t="s">
        <v>20</v>
      </c>
      <c r="W109">
        <v>207</v>
      </c>
      <c r="X109">
        <f t="shared" si="5"/>
        <v>0.17682437432945486</v>
      </c>
      <c r="Y109">
        <f t="shared" si="6"/>
        <v>1.1031134533800691</v>
      </c>
      <c r="Z109">
        <f t="shared" si="7"/>
        <v>3.8620343772645263</v>
      </c>
      <c r="AA109">
        <f t="shared" si="8"/>
        <v>0.63996891385476196</v>
      </c>
      <c r="AB109">
        <f t="shared" si="9"/>
        <v>2.4825739153222974</v>
      </c>
    </row>
    <row r="110" spans="1:28" x14ac:dyDescent="0.3">
      <c r="A110" s="1" t="s">
        <v>13</v>
      </c>
      <c r="B110" s="1" t="s">
        <v>20</v>
      </c>
      <c r="C110" s="1">
        <v>44403</v>
      </c>
      <c r="D110">
        <v>207</v>
      </c>
      <c r="E110" t="s">
        <v>0</v>
      </c>
      <c r="F110">
        <v>3</v>
      </c>
      <c r="G110">
        <v>21.193174540816329</v>
      </c>
      <c r="H110" t="s">
        <v>1</v>
      </c>
      <c r="I110">
        <v>3</v>
      </c>
      <c r="J110">
        <v>32.742179200000002</v>
      </c>
      <c r="K110">
        <v>1.5449398171539253</v>
      </c>
      <c r="L110" t="s">
        <v>2</v>
      </c>
      <c r="M110">
        <v>3</v>
      </c>
      <c r="N110">
        <v>219.39836545454546</v>
      </c>
      <c r="O110">
        <v>10.352312487777708</v>
      </c>
      <c r="P110" t="s">
        <v>3</v>
      </c>
      <c r="Q110">
        <v>3</v>
      </c>
      <c r="R110">
        <v>81.848768640000003</v>
      </c>
      <c r="S110">
        <v>3.8620343772645263</v>
      </c>
      <c r="U110" t="s">
        <v>3</v>
      </c>
      <c r="V110" t="s">
        <v>20</v>
      </c>
      <c r="W110">
        <v>207</v>
      </c>
      <c r="X110">
        <f t="shared" si="5"/>
        <v>1.1031134533800691</v>
      </c>
      <c r="Y110">
        <f t="shared" si="6"/>
        <v>2.3045705000861942</v>
      </c>
      <c r="Z110">
        <f t="shared" si="7"/>
        <v>3.8620343772645263</v>
      </c>
      <c r="AA110">
        <f t="shared" si="8"/>
        <v>1.7038419767331316</v>
      </c>
      <c r="AB110">
        <f t="shared" si="9"/>
        <v>3.0833024386753602</v>
      </c>
    </row>
    <row r="111" spans="1:28" x14ac:dyDescent="0.3">
      <c r="A111" s="1" t="s">
        <v>13</v>
      </c>
      <c r="B111" s="1" t="s">
        <v>19</v>
      </c>
      <c r="C111" s="1">
        <v>44411</v>
      </c>
      <c r="D111">
        <v>215</v>
      </c>
      <c r="E111" t="s">
        <v>0</v>
      </c>
      <c r="F111">
        <v>1</v>
      </c>
      <c r="G111">
        <v>79.635776749999991</v>
      </c>
      <c r="H111" t="s">
        <v>1</v>
      </c>
      <c r="I111">
        <v>1</v>
      </c>
      <c r="J111">
        <v>166.65768857142854</v>
      </c>
      <c r="K111">
        <v>2.0927489549655025</v>
      </c>
      <c r="L111" t="s">
        <v>2</v>
      </c>
      <c r="M111">
        <v>1</v>
      </c>
      <c r="N111">
        <v>180.47701999999995</v>
      </c>
      <c r="O111">
        <v>2.2662806513028704</v>
      </c>
      <c r="P111" t="s">
        <v>3</v>
      </c>
      <c r="Q111">
        <v>1</v>
      </c>
      <c r="R111">
        <v>87.847296703296706</v>
      </c>
      <c r="S111">
        <v>1.1031134533800691</v>
      </c>
      <c r="U111" t="s">
        <v>3</v>
      </c>
      <c r="V111" t="s">
        <v>19</v>
      </c>
      <c r="W111">
        <v>207</v>
      </c>
      <c r="X111">
        <f t="shared" si="5"/>
        <v>0.99884549121007427</v>
      </c>
      <c r="Y111">
        <f t="shared" si="6"/>
        <v>1.1031134533800691</v>
      </c>
      <c r="Z111">
        <f t="shared" si="7"/>
        <v>2.3045705000861942</v>
      </c>
      <c r="AA111">
        <f t="shared" si="8"/>
        <v>1.0509794722950716</v>
      </c>
      <c r="AB111">
        <f t="shared" si="9"/>
        <v>1.7038419767331316</v>
      </c>
    </row>
    <row r="112" spans="1:28" x14ac:dyDescent="0.3">
      <c r="A112" s="1" t="s">
        <v>13</v>
      </c>
      <c r="B112" s="1" t="s">
        <v>19</v>
      </c>
      <c r="C112" s="1">
        <v>44411</v>
      </c>
      <c r="D112">
        <v>215</v>
      </c>
      <c r="E112" t="s">
        <v>0</v>
      </c>
      <c r="F112">
        <v>2</v>
      </c>
      <c r="G112">
        <v>50.322774716981122</v>
      </c>
      <c r="H112" t="s">
        <v>1</v>
      </c>
      <c r="I112">
        <v>2</v>
      </c>
      <c r="J112">
        <v>128.59724659999998</v>
      </c>
      <c r="K112">
        <v>2.5554482502850862</v>
      </c>
      <c r="P112" t="s">
        <v>3</v>
      </c>
      <c r="Q112">
        <v>2</v>
      </c>
      <c r="R112">
        <v>115.97238209523807</v>
      </c>
      <c r="S112">
        <v>2.3045705000861942</v>
      </c>
      <c r="U112" t="s">
        <v>3</v>
      </c>
      <c r="V112" t="s">
        <v>19</v>
      </c>
      <c r="W112">
        <v>215</v>
      </c>
      <c r="X112">
        <f t="shared" si="5"/>
        <v>0.99884549121007427</v>
      </c>
      <c r="Y112">
        <f t="shared" si="6"/>
        <v>2.3045705000861942</v>
      </c>
      <c r="Z112">
        <f t="shared" si="7"/>
        <v>2.5084430718399382</v>
      </c>
      <c r="AA112">
        <f t="shared" si="8"/>
        <v>1.6517079956481342</v>
      </c>
      <c r="AB112">
        <f t="shared" si="9"/>
        <v>2.4065067859630664</v>
      </c>
    </row>
    <row r="113" spans="1:28" x14ac:dyDescent="0.3">
      <c r="A113" s="1" t="s">
        <v>13</v>
      </c>
      <c r="B113" s="1" t="s">
        <v>19</v>
      </c>
      <c r="C113" s="1">
        <v>44411</v>
      </c>
      <c r="D113">
        <v>215</v>
      </c>
      <c r="E113" t="s">
        <v>0</v>
      </c>
      <c r="F113">
        <v>3</v>
      </c>
      <c r="G113">
        <v>44.691089166666664</v>
      </c>
      <c r="P113" t="s">
        <v>3</v>
      </c>
      <c r="Q113">
        <v>3</v>
      </c>
      <c r="R113">
        <v>44.639492911392395</v>
      </c>
      <c r="S113">
        <v>0.99884549121007427</v>
      </c>
      <c r="U113" t="s">
        <v>3</v>
      </c>
      <c r="V113" t="s">
        <v>19</v>
      </c>
      <c r="W113">
        <v>215</v>
      </c>
      <c r="X113">
        <f t="shared" si="5"/>
        <v>0.99884549121007427</v>
      </c>
      <c r="Y113">
        <f t="shared" si="6"/>
        <v>2.2611195363158698</v>
      </c>
      <c r="Z113">
        <f t="shared" si="7"/>
        <v>2.5084430718399382</v>
      </c>
      <c r="AA113">
        <f t="shared" si="8"/>
        <v>1.6299825137629722</v>
      </c>
      <c r="AB113">
        <f t="shared" si="9"/>
        <v>2.384781304077904</v>
      </c>
    </row>
    <row r="114" spans="1:28" x14ac:dyDescent="0.3">
      <c r="A114" s="1" t="s">
        <v>14</v>
      </c>
      <c r="B114" s="1" t="s">
        <v>22</v>
      </c>
      <c r="C114" s="1">
        <v>44411</v>
      </c>
      <c r="D114">
        <v>215</v>
      </c>
      <c r="E114" t="s">
        <v>0</v>
      </c>
      <c r="F114">
        <v>1</v>
      </c>
      <c r="G114">
        <v>4.5398958333333317</v>
      </c>
      <c r="L114" t="s">
        <v>2</v>
      </c>
      <c r="M114">
        <v>1</v>
      </c>
      <c r="N114">
        <v>8.9573570731707335</v>
      </c>
      <c r="O114">
        <v>1.973031409091597</v>
      </c>
      <c r="P114" t="s">
        <v>3</v>
      </c>
      <c r="Q114">
        <v>1</v>
      </c>
      <c r="R114">
        <v>11.388070249999998</v>
      </c>
      <c r="S114">
        <v>2.5084430718399382</v>
      </c>
      <c r="U114" t="s">
        <v>3</v>
      </c>
      <c r="V114" t="s">
        <v>22</v>
      </c>
      <c r="W114">
        <v>215</v>
      </c>
      <c r="X114">
        <f t="shared" si="5"/>
        <v>0.92664224791292116</v>
      </c>
      <c r="Y114">
        <f t="shared" si="6"/>
        <v>2.2611195363158698</v>
      </c>
      <c r="Z114">
        <f t="shared" si="7"/>
        <v>2.5084430718399382</v>
      </c>
      <c r="AA114">
        <f t="shared" si="8"/>
        <v>1.5938808921143957</v>
      </c>
      <c r="AB114">
        <f t="shared" si="9"/>
        <v>2.384781304077904</v>
      </c>
    </row>
    <row r="115" spans="1:28" x14ac:dyDescent="0.3">
      <c r="A115" s="1" t="s">
        <v>14</v>
      </c>
      <c r="B115" s="1" t="s">
        <v>22</v>
      </c>
      <c r="C115" s="1">
        <v>44411</v>
      </c>
      <c r="D115">
        <v>215</v>
      </c>
      <c r="E115" t="s">
        <v>0</v>
      </c>
      <c r="F115">
        <v>2</v>
      </c>
      <c r="G115">
        <v>3.7246044999999981</v>
      </c>
      <c r="H115" t="s">
        <v>1</v>
      </c>
      <c r="I115">
        <v>2</v>
      </c>
      <c r="J115">
        <v>5.9123604878048797</v>
      </c>
      <c r="K115">
        <v>1.5873794084190369</v>
      </c>
      <c r="L115" t="s">
        <v>2</v>
      </c>
      <c r="M115">
        <v>2</v>
      </c>
      <c r="N115">
        <v>3.3686494499999995</v>
      </c>
      <c r="O115">
        <v>0.90443145037278483</v>
      </c>
      <c r="P115" t="s">
        <v>3</v>
      </c>
      <c r="Q115">
        <v>2</v>
      </c>
      <c r="R115">
        <v>8.4217759999999977</v>
      </c>
      <c r="S115">
        <v>2.2611195363158698</v>
      </c>
      <c r="U115" t="s">
        <v>3</v>
      </c>
      <c r="V115" t="s">
        <v>22</v>
      </c>
      <c r="W115">
        <v>215</v>
      </c>
      <c r="X115">
        <f t="shared" si="5"/>
        <v>0.92664224791292116</v>
      </c>
      <c r="Y115">
        <f t="shared" si="6"/>
        <v>1.3918927222720561</v>
      </c>
      <c r="Z115">
        <f t="shared" si="7"/>
        <v>2.2611195363158698</v>
      </c>
      <c r="AA115">
        <f t="shared" si="8"/>
        <v>1.1592674850924887</v>
      </c>
      <c r="AB115">
        <f t="shared" si="9"/>
        <v>1.8265061292939628</v>
      </c>
    </row>
    <row r="116" spans="1:28" x14ac:dyDescent="0.3">
      <c r="A116" s="1" t="s">
        <v>14</v>
      </c>
      <c r="B116" s="1" t="s">
        <v>22</v>
      </c>
      <c r="C116" s="1">
        <v>44411</v>
      </c>
      <c r="D116">
        <v>215</v>
      </c>
      <c r="E116" t="s">
        <v>0</v>
      </c>
      <c r="F116">
        <v>3</v>
      </c>
      <c r="G116">
        <v>6.5997931707317097</v>
      </c>
      <c r="H116" t="s">
        <v>1</v>
      </c>
      <c r="I116">
        <v>3</v>
      </c>
      <c r="J116">
        <v>3.8110649900000002</v>
      </c>
      <c r="K116">
        <v>0.57745218545651378</v>
      </c>
      <c r="L116" t="s">
        <v>2</v>
      </c>
      <c r="M116">
        <v>3</v>
      </c>
      <c r="N116">
        <v>5.0791279512195127</v>
      </c>
      <c r="O116">
        <v>0.76958895829403651</v>
      </c>
      <c r="P116" t="s">
        <v>3</v>
      </c>
      <c r="Q116">
        <v>3</v>
      </c>
      <c r="R116">
        <v>6.1156471794871772</v>
      </c>
      <c r="S116">
        <v>0.92664224791292116</v>
      </c>
      <c r="U116" t="s">
        <v>3</v>
      </c>
      <c r="V116" t="s">
        <v>22</v>
      </c>
      <c r="W116">
        <v>215</v>
      </c>
      <c r="X116">
        <f t="shared" si="5"/>
        <v>0.71738067119491877</v>
      </c>
      <c r="Y116">
        <f t="shared" si="6"/>
        <v>0.92664224791292116</v>
      </c>
      <c r="Z116">
        <f t="shared" si="7"/>
        <v>1.3918927222720561</v>
      </c>
      <c r="AA116">
        <f t="shared" si="8"/>
        <v>0.82201145955391997</v>
      </c>
      <c r="AB116">
        <f t="shared" si="9"/>
        <v>1.1592674850924887</v>
      </c>
    </row>
    <row r="117" spans="1:28" x14ac:dyDescent="0.3">
      <c r="A117" s="1" t="s">
        <v>13</v>
      </c>
      <c r="B117" s="1" t="s">
        <v>20</v>
      </c>
      <c r="C117" s="1">
        <v>44411</v>
      </c>
      <c r="D117">
        <v>215</v>
      </c>
      <c r="E117" t="s">
        <v>0</v>
      </c>
      <c r="F117">
        <v>2</v>
      </c>
      <c r="G117">
        <v>157.18260973333335</v>
      </c>
      <c r="H117" t="s">
        <v>1</v>
      </c>
      <c r="I117">
        <v>2</v>
      </c>
      <c r="J117">
        <v>144.87653</v>
      </c>
      <c r="K117">
        <v>0.92170838902464391</v>
      </c>
      <c r="L117" t="s">
        <v>2</v>
      </c>
      <c r="M117">
        <v>2</v>
      </c>
      <c r="N117">
        <v>128.24490000000003</v>
      </c>
      <c r="O117">
        <v>0.81589751065701666</v>
      </c>
      <c r="P117" t="s">
        <v>3</v>
      </c>
      <c r="Q117">
        <v>2</v>
      </c>
      <c r="R117">
        <v>218.78133055555554</v>
      </c>
      <c r="S117">
        <v>1.3918927222720561</v>
      </c>
      <c r="U117" t="s">
        <v>3</v>
      </c>
      <c r="V117" t="s">
        <v>20</v>
      </c>
      <c r="W117">
        <v>215</v>
      </c>
      <c r="X117">
        <f t="shared" si="5"/>
        <v>0.71738067119491877</v>
      </c>
      <c r="Y117">
        <f t="shared" si="6"/>
        <v>1.0366190197137877</v>
      </c>
      <c r="Z117">
        <f t="shared" si="7"/>
        <v>1.3918927222720561</v>
      </c>
      <c r="AA117">
        <f t="shared" si="8"/>
        <v>0.87699984545435328</v>
      </c>
      <c r="AB117">
        <f t="shared" si="9"/>
        <v>1.2142558709929219</v>
      </c>
    </row>
    <row r="118" spans="1:28" x14ac:dyDescent="0.3">
      <c r="A118" s="1" t="s">
        <v>14</v>
      </c>
      <c r="B118" s="1" t="s">
        <v>23</v>
      </c>
      <c r="C118" s="1">
        <v>44411</v>
      </c>
      <c r="D118">
        <v>215</v>
      </c>
      <c r="E118" t="s">
        <v>0</v>
      </c>
      <c r="F118">
        <v>1</v>
      </c>
      <c r="G118">
        <v>24.456129696969697</v>
      </c>
      <c r="H118" t="s">
        <v>1</v>
      </c>
      <c r="I118">
        <v>1</v>
      </c>
      <c r="J118">
        <v>247.26274300546444</v>
      </c>
      <c r="K118">
        <v>10.110460897502609</v>
      </c>
      <c r="P118" t="s">
        <v>3</v>
      </c>
      <c r="Q118">
        <v>1</v>
      </c>
      <c r="R118">
        <v>17.544354736842106</v>
      </c>
      <c r="S118">
        <v>0.71738067119491877</v>
      </c>
      <c r="U118" t="s">
        <v>3</v>
      </c>
      <c r="V118" t="s">
        <v>23</v>
      </c>
      <c r="W118">
        <v>215</v>
      </c>
      <c r="X118">
        <f t="shared" si="5"/>
        <v>0</v>
      </c>
      <c r="Y118">
        <f t="shared" si="6"/>
        <v>0.71738067119491877</v>
      </c>
      <c r="Z118">
        <f t="shared" si="7"/>
        <v>1.0366190197137877</v>
      </c>
      <c r="AA118">
        <f t="shared" si="8"/>
        <v>0.35869033559745939</v>
      </c>
      <c r="AB118">
        <f t="shared" si="9"/>
        <v>0.87699984545435328</v>
      </c>
    </row>
    <row r="119" spans="1:28" x14ac:dyDescent="0.3">
      <c r="A119" s="1" t="s">
        <v>14</v>
      </c>
      <c r="B119" s="1" t="s">
        <v>23</v>
      </c>
      <c r="C119" s="1">
        <v>44411</v>
      </c>
      <c r="D119">
        <v>215</v>
      </c>
      <c r="E119" t="s">
        <v>0</v>
      </c>
      <c r="F119">
        <v>2</v>
      </c>
      <c r="G119">
        <v>19.121268421052637</v>
      </c>
      <c r="H119" t="s">
        <v>1</v>
      </c>
      <c r="I119">
        <v>2</v>
      </c>
      <c r="J119">
        <v>226.76583722222227</v>
      </c>
      <c r="K119">
        <v>11.85935118051853</v>
      </c>
      <c r="P119" t="s">
        <v>3</v>
      </c>
      <c r="Q119">
        <v>2</v>
      </c>
      <c r="R119">
        <v>19.821470526315789</v>
      </c>
      <c r="S119">
        <v>1.0366190197137877</v>
      </c>
      <c r="U119" t="s">
        <v>3</v>
      </c>
      <c r="V119" t="s">
        <v>23</v>
      </c>
      <c r="W119">
        <v>215</v>
      </c>
      <c r="X119">
        <f t="shared" si="5"/>
        <v>0</v>
      </c>
      <c r="Y119">
        <f t="shared" si="6"/>
        <v>0.33022855588313116</v>
      </c>
      <c r="Z119">
        <f t="shared" si="7"/>
        <v>1.0366190197137877</v>
      </c>
      <c r="AA119">
        <f t="shared" si="8"/>
        <v>0.16511427794156558</v>
      </c>
      <c r="AB119">
        <f t="shared" si="9"/>
        <v>0.68342378779845947</v>
      </c>
    </row>
    <row r="120" spans="1:28" x14ac:dyDescent="0.3">
      <c r="A120" s="1" t="s">
        <v>14</v>
      </c>
      <c r="B120" s="1" t="s">
        <v>23</v>
      </c>
      <c r="C120" s="1">
        <v>44411</v>
      </c>
      <c r="D120">
        <v>215</v>
      </c>
      <c r="E120" t="s">
        <v>0</v>
      </c>
      <c r="F120">
        <v>3</v>
      </c>
      <c r="G120">
        <v>19.88921783783784</v>
      </c>
      <c r="H120" t="s">
        <v>1</v>
      </c>
      <c r="I120">
        <v>3</v>
      </c>
      <c r="J120">
        <v>236.40153549999997</v>
      </c>
      <c r="K120">
        <v>11.885914138376153</v>
      </c>
      <c r="L120" t="s">
        <v>2</v>
      </c>
      <c r="M120">
        <v>3</v>
      </c>
      <c r="N120">
        <v>222.63668433333333</v>
      </c>
      <c r="O120">
        <v>11.193838096025209</v>
      </c>
      <c r="S120">
        <v>0</v>
      </c>
      <c r="U120" t="s">
        <v>3</v>
      </c>
      <c r="V120" t="s">
        <v>23</v>
      </c>
      <c r="W120">
        <v>215</v>
      </c>
      <c r="X120">
        <f t="shared" si="5"/>
        <v>0</v>
      </c>
      <c r="Y120">
        <f t="shared" si="6"/>
        <v>0.33022855588313116</v>
      </c>
      <c r="Z120">
        <f t="shared" si="7"/>
        <v>1.095083338836639</v>
      </c>
      <c r="AA120">
        <f t="shared" si="8"/>
        <v>0.16511427794156558</v>
      </c>
      <c r="AB120">
        <f t="shared" si="9"/>
        <v>0.71265594735988502</v>
      </c>
    </row>
    <row r="121" spans="1:28" x14ac:dyDescent="0.3">
      <c r="A121" s="1" t="s">
        <v>13</v>
      </c>
      <c r="B121" s="1" t="s">
        <v>21</v>
      </c>
      <c r="C121" s="1">
        <v>44411</v>
      </c>
      <c r="D121">
        <v>215</v>
      </c>
      <c r="E121" t="s">
        <v>0</v>
      </c>
      <c r="F121">
        <v>1</v>
      </c>
      <c r="G121">
        <v>64.79901304347824</v>
      </c>
      <c r="H121" t="s">
        <v>1</v>
      </c>
      <c r="I121">
        <v>1</v>
      </c>
      <c r="J121">
        <v>39.319566836734694</v>
      </c>
      <c r="K121">
        <v>0.60679268078284487</v>
      </c>
      <c r="L121" t="s">
        <v>2</v>
      </c>
      <c r="M121">
        <v>1</v>
      </c>
      <c r="N121">
        <v>17.746154047619051</v>
      </c>
      <c r="O121">
        <v>0.27386457314885182</v>
      </c>
      <c r="P121" t="s">
        <v>3</v>
      </c>
      <c r="Q121">
        <v>1</v>
      </c>
      <c r="R121">
        <v>21.398484499999999</v>
      </c>
      <c r="S121">
        <v>0.33022855588313116</v>
      </c>
      <c r="U121" t="s">
        <v>3</v>
      </c>
      <c r="V121" t="s">
        <v>21</v>
      </c>
      <c r="W121">
        <v>215</v>
      </c>
      <c r="X121">
        <f t="shared" si="5"/>
        <v>0.33022855588313116</v>
      </c>
      <c r="Y121">
        <f t="shared" si="6"/>
        <v>0.92077110775503679</v>
      </c>
      <c r="Z121">
        <f t="shared" si="7"/>
        <v>1.095083338836639</v>
      </c>
      <c r="AA121">
        <f t="shared" si="8"/>
        <v>0.62549983181908397</v>
      </c>
      <c r="AB121">
        <f t="shared" si="9"/>
        <v>1.0079272232958378</v>
      </c>
    </row>
    <row r="122" spans="1:28" x14ac:dyDescent="0.3">
      <c r="A122" s="1" t="s">
        <v>13</v>
      </c>
      <c r="B122" s="1" t="s">
        <v>21</v>
      </c>
      <c r="C122" s="1">
        <v>44411</v>
      </c>
      <c r="D122">
        <v>215</v>
      </c>
      <c r="E122" t="s">
        <v>0</v>
      </c>
      <c r="F122">
        <v>2</v>
      </c>
      <c r="G122">
        <v>50.68073469387754</v>
      </c>
      <c r="H122" t="s">
        <v>1</v>
      </c>
      <c r="I122">
        <v>2</v>
      </c>
      <c r="J122">
        <v>44.475062311557785</v>
      </c>
      <c r="K122">
        <v>0.8775536223023731</v>
      </c>
      <c r="L122" t="s">
        <v>2</v>
      </c>
      <c r="M122">
        <v>2</v>
      </c>
      <c r="N122">
        <v>93.191655499999968</v>
      </c>
      <c r="O122">
        <v>1.8387984322424975</v>
      </c>
      <c r="P122" t="s">
        <v>3</v>
      </c>
      <c r="Q122">
        <v>2</v>
      </c>
      <c r="R122">
        <v>55.499628163265299</v>
      </c>
      <c r="S122">
        <v>1.095083338836639</v>
      </c>
      <c r="U122" t="s">
        <v>3</v>
      </c>
      <c r="V122" t="s">
        <v>21</v>
      </c>
      <c r="W122">
        <v>215</v>
      </c>
      <c r="X122">
        <f t="shared" si="5"/>
        <v>0.92077110775503679</v>
      </c>
      <c r="Y122">
        <f t="shared" si="6"/>
        <v>1.095083338836639</v>
      </c>
      <c r="Z122">
        <f t="shared" si="7"/>
        <v>1.1998172895605099</v>
      </c>
      <c r="AA122">
        <f t="shared" si="8"/>
        <v>1.0079272232958378</v>
      </c>
      <c r="AB122">
        <f t="shared" si="9"/>
        <v>1.1474503141985744</v>
      </c>
    </row>
    <row r="123" spans="1:28" x14ac:dyDescent="0.3">
      <c r="A123" s="1" t="s">
        <v>13</v>
      </c>
      <c r="B123" s="1" t="s">
        <v>21</v>
      </c>
      <c r="C123" s="1">
        <v>44411</v>
      </c>
      <c r="D123">
        <v>215</v>
      </c>
      <c r="E123" t="s">
        <v>0</v>
      </c>
      <c r="F123">
        <v>3</v>
      </c>
      <c r="G123">
        <v>33.520744449999995</v>
      </c>
      <c r="H123" t="s">
        <v>1</v>
      </c>
      <c r="I123">
        <v>3</v>
      </c>
      <c r="J123">
        <v>38.100532999999999</v>
      </c>
      <c r="K123">
        <v>1.1366255023611209</v>
      </c>
      <c r="L123" t="s">
        <v>2</v>
      </c>
      <c r="M123">
        <v>3</v>
      </c>
      <c r="N123">
        <v>11.836283414634144</v>
      </c>
      <c r="O123">
        <v>0.35310323827352069</v>
      </c>
      <c r="P123" t="s">
        <v>3</v>
      </c>
      <c r="Q123">
        <v>3</v>
      </c>
      <c r="R123">
        <v>30.864932999999997</v>
      </c>
      <c r="S123">
        <v>0.92077110775503679</v>
      </c>
      <c r="U123" t="s">
        <v>3</v>
      </c>
      <c r="V123" t="s">
        <v>21</v>
      </c>
      <c r="W123">
        <v>215</v>
      </c>
      <c r="X123">
        <f t="shared" si="5"/>
        <v>0.92077110775503679</v>
      </c>
      <c r="Y123">
        <f t="shared" si="6"/>
        <v>1.1998172895605099</v>
      </c>
      <c r="Z123">
        <f t="shared" si="7"/>
        <v>1.6541287545600549</v>
      </c>
      <c r="AA123">
        <f t="shared" si="8"/>
        <v>1.0602941986577734</v>
      </c>
      <c r="AB123">
        <f t="shared" si="9"/>
        <v>1.4269730220602823</v>
      </c>
    </row>
    <row r="124" spans="1:28" x14ac:dyDescent="0.3">
      <c r="A124" s="1" t="s">
        <v>14</v>
      </c>
      <c r="B124" s="1" t="s">
        <v>24</v>
      </c>
      <c r="C124" s="1">
        <v>44411</v>
      </c>
      <c r="D124">
        <v>215</v>
      </c>
      <c r="E124" t="s">
        <v>0</v>
      </c>
      <c r="F124">
        <v>1</v>
      </c>
      <c r="G124">
        <v>15.956821</v>
      </c>
      <c r="H124" t="s">
        <v>1</v>
      </c>
      <c r="I124">
        <v>1</v>
      </c>
      <c r="J124">
        <v>3.0428946300000002</v>
      </c>
      <c r="K124">
        <v>0.1906955420506378</v>
      </c>
      <c r="L124" t="s">
        <v>2</v>
      </c>
      <c r="M124">
        <v>1</v>
      </c>
      <c r="N124">
        <v>11.627780975609756</v>
      </c>
      <c r="O124">
        <v>0.7287028522542025</v>
      </c>
      <c r="P124" t="s">
        <v>3</v>
      </c>
      <c r="Q124">
        <v>1</v>
      </c>
      <c r="R124">
        <v>19.145269722222224</v>
      </c>
      <c r="S124">
        <v>1.1998172895605099</v>
      </c>
      <c r="U124" t="s">
        <v>3</v>
      </c>
      <c r="V124" t="s">
        <v>24</v>
      </c>
      <c r="W124">
        <v>215</v>
      </c>
      <c r="X124">
        <f t="shared" si="5"/>
        <v>1.1230595324416306</v>
      </c>
      <c r="Y124">
        <f t="shared" si="6"/>
        <v>1.1998172895605099</v>
      </c>
      <c r="Z124">
        <f t="shared" si="7"/>
        <v>1.6541287545600549</v>
      </c>
      <c r="AA124">
        <f t="shared" si="8"/>
        <v>1.1614384110010703</v>
      </c>
      <c r="AB124">
        <f t="shared" si="9"/>
        <v>1.4269730220602823</v>
      </c>
    </row>
    <row r="125" spans="1:28" x14ac:dyDescent="0.3">
      <c r="A125" s="1" t="s">
        <v>14</v>
      </c>
      <c r="B125" s="1" t="s">
        <v>24</v>
      </c>
      <c r="C125" s="1">
        <v>44411</v>
      </c>
      <c r="D125">
        <v>215</v>
      </c>
      <c r="E125" t="s">
        <v>0</v>
      </c>
      <c r="F125">
        <v>2</v>
      </c>
      <c r="G125">
        <v>16.116718499999998</v>
      </c>
      <c r="H125" t="s">
        <v>1</v>
      </c>
      <c r="I125">
        <v>2</v>
      </c>
      <c r="J125">
        <v>6.6801117948717916</v>
      </c>
      <c r="K125">
        <v>0.41448336985421647</v>
      </c>
      <c r="L125" t="s">
        <v>2</v>
      </c>
      <c r="M125">
        <v>2</v>
      </c>
      <c r="N125">
        <v>14.804435500000004</v>
      </c>
      <c r="O125">
        <v>0.91857629082495962</v>
      </c>
      <c r="P125" t="s">
        <v>3</v>
      </c>
      <c r="Q125">
        <v>2</v>
      </c>
      <c r="R125">
        <v>26.659127499999993</v>
      </c>
      <c r="S125">
        <v>1.6541287545600549</v>
      </c>
      <c r="U125" t="s">
        <v>3</v>
      </c>
      <c r="V125" t="s">
        <v>24</v>
      </c>
      <c r="W125">
        <v>215</v>
      </c>
      <c r="X125">
        <f t="shared" si="5"/>
        <v>1.1230595324416306</v>
      </c>
      <c r="Y125">
        <f t="shared" si="6"/>
        <v>1.5234034360706565</v>
      </c>
      <c r="Z125">
        <f t="shared" si="7"/>
        <v>1.6541287545600549</v>
      </c>
      <c r="AA125">
        <f t="shared" si="8"/>
        <v>1.3232314842561435</v>
      </c>
      <c r="AB125">
        <f t="shared" si="9"/>
        <v>1.5887660953153557</v>
      </c>
    </row>
    <row r="126" spans="1:28" x14ac:dyDescent="0.3">
      <c r="A126" s="1" t="s">
        <v>14</v>
      </c>
      <c r="B126" s="1" t="s">
        <v>24</v>
      </c>
      <c r="C126" s="1">
        <v>44411</v>
      </c>
      <c r="D126">
        <v>215</v>
      </c>
      <c r="E126" t="s">
        <v>0</v>
      </c>
      <c r="F126">
        <v>3</v>
      </c>
      <c r="G126">
        <v>14.954378199999997</v>
      </c>
      <c r="H126" t="s">
        <v>1</v>
      </c>
      <c r="I126">
        <v>3</v>
      </c>
      <c r="J126">
        <v>1.7771334999999973</v>
      </c>
      <c r="K126">
        <v>0.11883700386820481</v>
      </c>
      <c r="L126" t="s">
        <v>2</v>
      </c>
      <c r="M126">
        <v>3</v>
      </c>
      <c r="N126">
        <v>7.1380594054054054</v>
      </c>
      <c r="O126">
        <v>0.47732238077310407</v>
      </c>
      <c r="P126" t="s">
        <v>3</v>
      </c>
      <c r="Q126">
        <v>3</v>
      </c>
      <c r="R126">
        <v>16.794656989247311</v>
      </c>
      <c r="S126">
        <v>1.1230595324416306</v>
      </c>
      <c r="U126" t="s">
        <v>3</v>
      </c>
      <c r="V126" t="s">
        <v>24</v>
      </c>
      <c r="W126">
        <v>215</v>
      </c>
      <c r="X126">
        <f t="shared" si="5"/>
        <v>1.1230595324416306</v>
      </c>
      <c r="Y126">
        <f t="shared" si="6"/>
        <v>1.5234034360706565</v>
      </c>
      <c r="Z126">
        <f t="shared" si="7"/>
        <v>1.554818956079715</v>
      </c>
      <c r="AA126">
        <f t="shared" si="8"/>
        <v>1.3232314842561435</v>
      </c>
      <c r="AB126">
        <f t="shared" si="9"/>
        <v>1.5391111960751858</v>
      </c>
    </row>
    <row r="127" spans="1:28" x14ac:dyDescent="0.3">
      <c r="A127" s="1" t="s">
        <v>13</v>
      </c>
      <c r="B127" s="1" t="s">
        <v>19</v>
      </c>
      <c r="C127" s="1">
        <v>44417</v>
      </c>
      <c r="D127">
        <v>221</v>
      </c>
      <c r="E127" t="s">
        <v>0</v>
      </c>
      <c r="F127">
        <v>1</v>
      </c>
      <c r="G127">
        <v>54.914638533333324</v>
      </c>
      <c r="H127" t="s">
        <v>1</v>
      </c>
      <c r="I127">
        <v>1</v>
      </c>
      <c r="J127">
        <v>56.188529095744677</v>
      </c>
      <c r="K127">
        <v>1.0231976499606403</v>
      </c>
      <c r="L127" t="s">
        <v>2</v>
      </c>
      <c r="M127">
        <v>1</v>
      </c>
      <c r="N127">
        <v>111.29681816666664</v>
      </c>
      <c r="O127">
        <v>2.0267240418801844</v>
      </c>
      <c r="P127" t="s">
        <v>3</v>
      </c>
      <c r="Q127">
        <v>1</v>
      </c>
      <c r="R127">
        <v>83.657149032258062</v>
      </c>
      <c r="S127">
        <v>1.5234034360706565</v>
      </c>
      <c r="U127" t="s">
        <v>3</v>
      </c>
      <c r="V127" t="s">
        <v>19</v>
      </c>
      <c r="W127">
        <v>215</v>
      </c>
      <c r="X127">
        <f t="shared" si="5"/>
        <v>1.4487102576569091</v>
      </c>
      <c r="Y127">
        <f t="shared" si="6"/>
        <v>1.5234034360706565</v>
      </c>
      <c r="Z127">
        <f t="shared" si="7"/>
        <v>1.554818956079715</v>
      </c>
      <c r="AA127">
        <f t="shared" si="8"/>
        <v>1.4860568468637827</v>
      </c>
      <c r="AB127">
        <f t="shared" si="9"/>
        <v>1.5391111960751858</v>
      </c>
    </row>
    <row r="128" spans="1:28" x14ac:dyDescent="0.3">
      <c r="A128" s="1" t="s">
        <v>13</v>
      </c>
      <c r="B128" s="1" t="s">
        <v>19</v>
      </c>
      <c r="C128" s="1">
        <v>44417</v>
      </c>
      <c r="D128">
        <v>221</v>
      </c>
      <c r="E128" t="s">
        <v>0</v>
      </c>
      <c r="F128">
        <v>2</v>
      </c>
      <c r="G128">
        <v>59.299828000000005</v>
      </c>
      <c r="H128" t="s">
        <v>1</v>
      </c>
      <c r="I128">
        <v>2</v>
      </c>
      <c r="J128">
        <v>66.091033666666661</v>
      </c>
      <c r="K128">
        <v>1.1145231933331519</v>
      </c>
      <c r="L128" t="s">
        <v>2</v>
      </c>
      <c r="M128">
        <v>2</v>
      </c>
      <c r="N128">
        <v>90.743161999999998</v>
      </c>
      <c r="O128">
        <v>1.5302432580411529</v>
      </c>
      <c r="P128" t="s">
        <v>3</v>
      </c>
      <c r="Q128">
        <v>2</v>
      </c>
      <c r="R128">
        <v>92.200496666666666</v>
      </c>
      <c r="S128">
        <v>1.554818956079715</v>
      </c>
      <c r="U128" t="s">
        <v>3</v>
      </c>
      <c r="V128" t="s">
        <v>19</v>
      </c>
      <c r="W128">
        <v>221</v>
      </c>
      <c r="X128">
        <f t="shared" si="5"/>
        <v>0.13551835288944986</v>
      </c>
      <c r="Y128">
        <f t="shared" si="6"/>
        <v>1.4487102576569091</v>
      </c>
      <c r="Z128">
        <f t="shared" si="7"/>
        <v>1.554818956079715</v>
      </c>
      <c r="AA128">
        <f t="shared" si="8"/>
        <v>0.79211430527317939</v>
      </c>
      <c r="AB128">
        <f t="shared" si="9"/>
        <v>1.5017646068683121</v>
      </c>
    </row>
    <row r="129" spans="1:28" x14ac:dyDescent="0.3">
      <c r="A129" s="1" t="s">
        <v>13</v>
      </c>
      <c r="B129" s="1" t="s">
        <v>19</v>
      </c>
      <c r="C129" s="1">
        <v>44417</v>
      </c>
      <c r="D129">
        <v>221</v>
      </c>
      <c r="E129" t="s">
        <v>0</v>
      </c>
      <c r="F129">
        <v>3</v>
      </c>
      <c r="G129">
        <v>65.303916799999996</v>
      </c>
      <c r="H129" t="s">
        <v>1</v>
      </c>
      <c r="I129">
        <v>3</v>
      </c>
      <c r="J129">
        <v>67.968065135135134</v>
      </c>
      <c r="K129">
        <v>1.040796149230901</v>
      </c>
      <c r="L129" t="s">
        <v>2</v>
      </c>
      <c r="M129">
        <v>3</v>
      </c>
      <c r="N129">
        <v>107.6987746031746</v>
      </c>
      <c r="O129">
        <v>1.6491931859617739</v>
      </c>
      <c r="P129" t="s">
        <v>3</v>
      </c>
      <c r="Q129">
        <v>3</v>
      </c>
      <c r="R129">
        <v>94.606454133333344</v>
      </c>
      <c r="S129">
        <v>1.4487102576569091</v>
      </c>
      <c r="U129" t="s">
        <v>3</v>
      </c>
      <c r="V129" t="s">
        <v>19</v>
      </c>
      <c r="W129">
        <v>221</v>
      </c>
      <c r="X129">
        <f t="shared" si="5"/>
        <v>1.0535766547612315E-2</v>
      </c>
      <c r="Y129">
        <f t="shared" si="6"/>
        <v>0.13551835288944986</v>
      </c>
      <c r="Z129">
        <f t="shared" si="7"/>
        <v>1.4487102576569091</v>
      </c>
      <c r="AA129">
        <f t="shared" si="8"/>
        <v>7.3027059718531087E-2</v>
      </c>
      <c r="AB129">
        <f t="shared" si="9"/>
        <v>0.79211430527317939</v>
      </c>
    </row>
    <row r="130" spans="1:28" x14ac:dyDescent="0.3">
      <c r="A130" s="1" t="s">
        <v>14</v>
      </c>
      <c r="B130" s="1" t="s">
        <v>22</v>
      </c>
      <c r="C130" s="1">
        <v>44417</v>
      </c>
      <c r="D130">
        <v>221</v>
      </c>
      <c r="E130" t="s">
        <v>0</v>
      </c>
      <c r="F130">
        <v>1</v>
      </c>
      <c r="G130">
        <v>8.8230607971014479</v>
      </c>
      <c r="H130" t="s">
        <v>1</v>
      </c>
      <c r="I130">
        <v>1</v>
      </c>
      <c r="J130">
        <v>4.6118931034482777</v>
      </c>
      <c r="K130">
        <v>0.52270897928793336</v>
      </c>
      <c r="L130" t="s">
        <v>2</v>
      </c>
      <c r="M130">
        <v>1</v>
      </c>
      <c r="N130">
        <v>0.57551760563380627</v>
      </c>
      <c r="O130">
        <v>6.5228792917631867E-2</v>
      </c>
      <c r="P130" t="s">
        <v>3</v>
      </c>
      <c r="Q130">
        <v>1</v>
      </c>
      <c r="R130">
        <v>1.1956866666666648</v>
      </c>
      <c r="S130">
        <v>0.13551835288944986</v>
      </c>
      <c r="U130" t="s">
        <v>3</v>
      </c>
      <c r="V130" t="s">
        <v>22</v>
      </c>
      <c r="W130">
        <v>221</v>
      </c>
      <c r="X130">
        <f t="shared" si="5"/>
        <v>1.0535766547612315E-2</v>
      </c>
      <c r="Y130">
        <f t="shared" si="6"/>
        <v>0.13551835288944986</v>
      </c>
      <c r="Z130">
        <f t="shared" si="7"/>
        <v>0.19303638000103962</v>
      </c>
      <c r="AA130">
        <f t="shared" si="8"/>
        <v>7.3027059718531087E-2</v>
      </c>
      <c r="AB130">
        <f t="shared" si="9"/>
        <v>0.16427736644524474</v>
      </c>
    </row>
    <row r="131" spans="1:28" x14ac:dyDescent="0.3">
      <c r="A131" s="1" t="s">
        <v>14</v>
      </c>
      <c r="B131" s="1" t="s">
        <v>22</v>
      </c>
      <c r="C131" s="1">
        <v>44417</v>
      </c>
      <c r="D131">
        <v>221</v>
      </c>
      <c r="E131" t="s">
        <v>0</v>
      </c>
      <c r="F131">
        <v>2</v>
      </c>
      <c r="G131">
        <v>3.6947613333333358</v>
      </c>
      <c r="H131" t="s">
        <v>1</v>
      </c>
      <c r="I131">
        <v>2</v>
      </c>
      <c r="J131">
        <v>4.2549510791366885</v>
      </c>
      <c r="K131">
        <v>1.1516173022461402</v>
      </c>
      <c r="L131" t="s">
        <v>2</v>
      </c>
      <c r="M131">
        <v>2</v>
      </c>
      <c r="N131">
        <v>1.3599235294117642</v>
      </c>
      <c r="O131">
        <v>0.36806803111822917</v>
      </c>
      <c r="P131" t="s">
        <v>3</v>
      </c>
      <c r="Q131">
        <v>2</v>
      </c>
      <c r="R131">
        <v>3.8927142857144832E-2</v>
      </c>
      <c r="S131">
        <v>1.0535766547612315E-2</v>
      </c>
      <c r="U131" t="s">
        <v>3</v>
      </c>
      <c r="V131" t="s">
        <v>22</v>
      </c>
      <c r="W131">
        <v>221</v>
      </c>
      <c r="X131">
        <f t="shared" ref="X131:X194" si="10">MIN(S131:S133)</f>
        <v>1.0535766547612315E-2</v>
      </c>
      <c r="Y131">
        <f t="shared" ref="Y131:Y194" si="11">MEDIAN(S131:S133)</f>
        <v>0.19303638000103962</v>
      </c>
      <c r="Z131">
        <f t="shared" ref="Z131:Z194" si="12">MAX(S131:S133)</f>
        <v>0.55549829964790209</v>
      </c>
      <c r="AA131">
        <f t="shared" ref="AA131:AA194" si="13">_xlfn.PERCENTILE.INC(S131:S133,0.25)</f>
        <v>0.10178607327432597</v>
      </c>
      <c r="AB131">
        <f t="shared" ref="AB131:AB194" si="14">_xlfn.PERCENTILE.INC(S131:S133,0.75)</f>
        <v>0.37426733982447086</v>
      </c>
    </row>
    <row r="132" spans="1:28" x14ac:dyDescent="0.3">
      <c r="A132" s="1" t="s">
        <v>14</v>
      </c>
      <c r="B132" s="1" t="s">
        <v>22</v>
      </c>
      <c r="C132" s="1">
        <v>44417</v>
      </c>
      <c r="D132">
        <v>221</v>
      </c>
      <c r="E132" t="s">
        <v>0</v>
      </c>
      <c r="F132">
        <v>3</v>
      </c>
      <c r="G132">
        <v>5.8215585714285689</v>
      </c>
      <c r="H132" t="s">
        <v>1</v>
      </c>
      <c r="I132">
        <v>3</v>
      </c>
      <c r="J132">
        <v>4.6694145454545453</v>
      </c>
      <c r="K132">
        <v>0.8020901083725942</v>
      </c>
      <c r="L132" t="s">
        <v>2</v>
      </c>
      <c r="M132">
        <v>3</v>
      </c>
      <c r="N132">
        <v>0.68133289473684078</v>
      </c>
      <c r="O132">
        <v>0.11703616589563</v>
      </c>
      <c r="P132" t="s">
        <v>3</v>
      </c>
      <c r="Q132">
        <v>3</v>
      </c>
      <c r="R132">
        <v>1.1237725925925945</v>
      </c>
      <c r="S132">
        <v>0.19303638000103962</v>
      </c>
      <c r="U132" t="s">
        <v>3</v>
      </c>
      <c r="V132" t="s">
        <v>22</v>
      </c>
      <c r="W132">
        <v>221</v>
      </c>
      <c r="X132">
        <f t="shared" si="10"/>
        <v>0.19303638000103962</v>
      </c>
      <c r="Y132">
        <f t="shared" si="11"/>
        <v>0.55549829964790209</v>
      </c>
      <c r="Z132">
        <f t="shared" si="12"/>
        <v>0.71195400768508421</v>
      </c>
      <c r="AA132">
        <f t="shared" si="13"/>
        <v>0.37426733982447086</v>
      </c>
      <c r="AB132">
        <f t="shared" si="14"/>
        <v>0.6337261536664931</v>
      </c>
    </row>
    <row r="133" spans="1:28" x14ac:dyDescent="0.3">
      <c r="A133" s="1" t="s">
        <v>13</v>
      </c>
      <c r="B133" s="1" t="s">
        <v>20</v>
      </c>
      <c r="C133" s="1">
        <v>44417</v>
      </c>
      <c r="D133">
        <v>221</v>
      </c>
      <c r="E133" t="s">
        <v>0</v>
      </c>
      <c r="F133">
        <v>1</v>
      </c>
      <c r="G133">
        <v>59.483915199999991</v>
      </c>
      <c r="H133" t="s">
        <v>1</v>
      </c>
      <c r="I133">
        <v>1</v>
      </c>
      <c r="J133">
        <v>54.38665360000001</v>
      </c>
      <c r="K133">
        <v>0.91430857261392939</v>
      </c>
      <c r="L133" t="s">
        <v>2</v>
      </c>
      <c r="M133">
        <v>1</v>
      </c>
      <c r="N133">
        <v>83.705260268456385</v>
      </c>
      <c r="O133">
        <v>1.4071915069312115</v>
      </c>
      <c r="P133" t="s">
        <v>3</v>
      </c>
      <c r="Q133">
        <v>1</v>
      </c>
      <c r="R133">
        <v>33.043213749999993</v>
      </c>
      <c r="S133">
        <v>0.55549829964790209</v>
      </c>
      <c r="U133" t="s">
        <v>3</v>
      </c>
      <c r="V133" t="s">
        <v>20</v>
      </c>
      <c r="W133">
        <v>221</v>
      </c>
      <c r="X133">
        <f t="shared" si="10"/>
        <v>0.55549829964790209</v>
      </c>
      <c r="Y133">
        <f t="shared" si="11"/>
        <v>0.71195400768508421</v>
      </c>
      <c r="Z133">
        <f t="shared" si="12"/>
        <v>0.93799709966129685</v>
      </c>
      <c r="AA133">
        <f t="shared" si="13"/>
        <v>0.6337261536664931</v>
      </c>
      <c r="AB133">
        <f t="shared" si="14"/>
        <v>0.82497555367319053</v>
      </c>
    </row>
    <row r="134" spans="1:28" x14ac:dyDescent="0.3">
      <c r="A134" s="1" t="s">
        <v>13</v>
      </c>
      <c r="B134" s="1" t="s">
        <v>20</v>
      </c>
      <c r="C134" s="1">
        <v>44417</v>
      </c>
      <c r="D134">
        <v>221</v>
      </c>
      <c r="E134" t="s">
        <v>0</v>
      </c>
      <c r="F134">
        <v>2</v>
      </c>
      <c r="G134">
        <v>27.531079407407407</v>
      </c>
      <c r="H134" t="s">
        <v>1</v>
      </c>
      <c r="I134">
        <v>2</v>
      </c>
      <c r="J134">
        <v>32.726124219200003</v>
      </c>
      <c r="K134">
        <v>1.1886974620542787</v>
      </c>
      <c r="L134" t="s">
        <v>2</v>
      </c>
      <c r="M134">
        <v>2</v>
      </c>
      <c r="N134">
        <v>52.662739840000008</v>
      </c>
      <c r="O134">
        <v>1.9128468978891824</v>
      </c>
      <c r="P134" t="s">
        <v>3</v>
      </c>
      <c r="Q134">
        <v>2</v>
      </c>
      <c r="R134">
        <v>19.600862319999997</v>
      </c>
      <c r="S134">
        <v>0.71195400768508421</v>
      </c>
      <c r="U134" t="s">
        <v>3</v>
      </c>
      <c r="V134" t="s">
        <v>20</v>
      </c>
      <c r="W134">
        <v>221</v>
      </c>
      <c r="X134">
        <f t="shared" si="10"/>
        <v>0.71195400768508421</v>
      </c>
      <c r="Y134">
        <f t="shared" si="11"/>
        <v>0.93799709966129685</v>
      </c>
      <c r="Z134">
        <f t="shared" si="12"/>
        <v>1.0072849488676754</v>
      </c>
      <c r="AA134">
        <f t="shared" si="13"/>
        <v>0.82497555367319053</v>
      </c>
      <c r="AB134">
        <f t="shared" si="14"/>
        <v>0.97264102426448606</v>
      </c>
    </row>
    <row r="135" spans="1:28" x14ac:dyDescent="0.3">
      <c r="A135" s="1" t="s">
        <v>13</v>
      </c>
      <c r="B135" s="1" t="s">
        <v>20</v>
      </c>
      <c r="C135" s="1">
        <v>44417</v>
      </c>
      <c r="D135">
        <v>221</v>
      </c>
      <c r="E135" t="s">
        <v>0</v>
      </c>
      <c r="F135">
        <v>3</v>
      </c>
      <c r="G135">
        <v>19.504388666666664</v>
      </c>
      <c r="H135" t="s">
        <v>1</v>
      </c>
      <c r="I135">
        <v>3</v>
      </c>
      <c r="J135">
        <v>41.327195807365442</v>
      </c>
      <c r="K135">
        <v>2.1188665030037228</v>
      </c>
      <c r="L135" t="s">
        <v>2</v>
      </c>
      <c r="M135">
        <v>3</v>
      </c>
      <c r="N135">
        <v>46.392901699716717</v>
      </c>
      <c r="O135">
        <v>2.3785878395154718</v>
      </c>
      <c r="P135" t="s">
        <v>3</v>
      </c>
      <c r="Q135">
        <v>3</v>
      </c>
      <c r="R135">
        <v>18.295059999999999</v>
      </c>
      <c r="S135">
        <v>0.93799709966129685</v>
      </c>
      <c r="U135" t="s">
        <v>3</v>
      </c>
      <c r="V135" t="s">
        <v>20</v>
      </c>
      <c r="W135">
        <v>221</v>
      </c>
      <c r="X135">
        <f t="shared" si="10"/>
        <v>0.93799709966129685</v>
      </c>
      <c r="Y135">
        <f t="shared" si="11"/>
        <v>1.0072849488676754</v>
      </c>
      <c r="Z135">
        <f t="shared" si="12"/>
        <v>1.4875952926760396</v>
      </c>
      <c r="AA135">
        <f t="shared" si="13"/>
        <v>0.97264102426448606</v>
      </c>
      <c r="AB135">
        <f t="shared" si="14"/>
        <v>1.2474401207718575</v>
      </c>
    </row>
    <row r="136" spans="1:28" x14ac:dyDescent="0.3">
      <c r="A136" s="1" t="s">
        <v>14</v>
      </c>
      <c r="B136" s="1" t="s">
        <v>23</v>
      </c>
      <c r="C136" s="1">
        <v>44417</v>
      </c>
      <c r="D136">
        <v>221</v>
      </c>
      <c r="E136" t="s">
        <v>0</v>
      </c>
      <c r="F136">
        <v>1</v>
      </c>
      <c r="G136">
        <v>10.079808396946564</v>
      </c>
      <c r="H136" t="s">
        <v>1</v>
      </c>
      <c r="I136">
        <v>1</v>
      </c>
      <c r="J136">
        <v>174.47977313432833</v>
      </c>
      <c r="K136">
        <v>17.309830332408183</v>
      </c>
      <c r="L136" t="s">
        <v>2</v>
      </c>
      <c r="M136">
        <v>1</v>
      </c>
      <c r="N136">
        <v>212.97338902654863</v>
      </c>
      <c r="O136">
        <v>21.128714023082402</v>
      </c>
      <c r="P136" t="s">
        <v>3</v>
      </c>
      <c r="Q136">
        <v>1</v>
      </c>
      <c r="R136">
        <v>10.153239285714285</v>
      </c>
      <c r="S136">
        <v>1.0072849488676754</v>
      </c>
      <c r="U136" t="s">
        <v>3</v>
      </c>
      <c r="V136" t="s">
        <v>23</v>
      </c>
      <c r="W136">
        <v>221</v>
      </c>
      <c r="X136">
        <f t="shared" si="10"/>
        <v>0.45214395281752312</v>
      </c>
      <c r="Y136">
        <f t="shared" si="11"/>
        <v>1.0072849488676754</v>
      </c>
      <c r="Z136">
        <f t="shared" si="12"/>
        <v>1.4875952926760396</v>
      </c>
      <c r="AA136">
        <f t="shared" si="13"/>
        <v>0.72971445084259923</v>
      </c>
      <c r="AB136">
        <f t="shared" si="14"/>
        <v>1.2474401207718575</v>
      </c>
    </row>
    <row r="137" spans="1:28" x14ac:dyDescent="0.3">
      <c r="A137" s="1" t="s">
        <v>14</v>
      </c>
      <c r="B137" s="1" t="s">
        <v>23</v>
      </c>
      <c r="C137" s="1">
        <v>44417</v>
      </c>
      <c r="D137">
        <v>221</v>
      </c>
      <c r="E137" t="s">
        <v>0</v>
      </c>
      <c r="F137">
        <v>2</v>
      </c>
      <c r="G137">
        <v>2.6539336000000042</v>
      </c>
      <c r="H137" t="s">
        <v>1</v>
      </c>
      <c r="I137">
        <v>2</v>
      </c>
      <c r="J137">
        <v>180.00352058823529</v>
      </c>
      <c r="K137">
        <v>67.825178666201367</v>
      </c>
      <c r="L137" t="s">
        <v>2</v>
      </c>
      <c r="M137">
        <v>2</v>
      </c>
      <c r="N137">
        <v>139.75598372093023</v>
      </c>
      <c r="O137">
        <v>52.659939842100798</v>
      </c>
      <c r="P137" t="s">
        <v>3</v>
      </c>
      <c r="Q137">
        <v>2</v>
      </c>
      <c r="R137">
        <v>3.9479791304347818</v>
      </c>
      <c r="S137">
        <v>1.4875952926760396</v>
      </c>
      <c r="U137" t="s">
        <v>3</v>
      </c>
      <c r="V137" t="s">
        <v>23</v>
      </c>
      <c r="W137">
        <v>221</v>
      </c>
      <c r="X137">
        <f t="shared" si="10"/>
        <v>0.45214395281752312</v>
      </c>
      <c r="Y137">
        <f t="shared" si="11"/>
        <v>1.0470380938188608</v>
      </c>
      <c r="Z137">
        <f t="shared" si="12"/>
        <v>1.4875952926760396</v>
      </c>
      <c r="AA137">
        <f t="shared" si="13"/>
        <v>0.74959102331819194</v>
      </c>
      <c r="AB137">
        <f t="shared" si="14"/>
        <v>1.2673166932474502</v>
      </c>
    </row>
    <row r="138" spans="1:28" x14ac:dyDescent="0.3">
      <c r="A138" s="1" t="s">
        <v>14</v>
      </c>
      <c r="B138" s="1" t="s">
        <v>23</v>
      </c>
      <c r="C138" s="1">
        <v>44417</v>
      </c>
      <c r="D138">
        <v>221</v>
      </c>
      <c r="E138" t="s">
        <v>0</v>
      </c>
      <c r="F138">
        <v>3</v>
      </c>
      <c r="G138">
        <v>10.738232575757577</v>
      </c>
      <c r="H138" t="s">
        <v>1</v>
      </c>
      <c r="I138">
        <v>3</v>
      </c>
      <c r="J138">
        <v>208.16284812030077</v>
      </c>
      <c r="K138">
        <v>19.385205773084589</v>
      </c>
      <c r="L138" t="s">
        <v>2</v>
      </c>
      <c r="M138">
        <v>3</v>
      </c>
      <c r="N138">
        <v>184.78427818181817</v>
      </c>
      <c r="O138">
        <v>17.208071894343536</v>
      </c>
      <c r="P138" t="s">
        <v>3</v>
      </c>
      <c r="Q138">
        <v>3</v>
      </c>
      <c r="R138">
        <v>4.8552269230769234</v>
      </c>
      <c r="S138">
        <v>0.45214395281752312</v>
      </c>
      <c r="U138" t="s">
        <v>3</v>
      </c>
      <c r="V138" t="s">
        <v>23</v>
      </c>
      <c r="W138">
        <v>221</v>
      </c>
      <c r="X138">
        <f t="shared" si="10"/>
        <v>0.45214395281752312</v>
      </c>
      <c r="Y138">
        <f t="shared" si="11"/>
        <v>1.0470380938188608</v>
      </c>
      <c r="Z138">
        <f t="shared" si="12"/>
        <v>1.4244136682821755</v>
      </c>
      <c r="AA138">
        <f t="shared" si="13"/>
        <v>0.74959102331819194</v>
      </c>
      <c r="AB138">
        <f t="shared" si="14"/>
        <v>1.2357258810505183</v>
      </c>
    </row>
    <row r="139" spans="1:28" x14ac:dyDescent="0.3">
      <c r="A139" s="1" t="s">
        <v>13</v>
      </c>
      <c r="B139" s="1" t="s">
        <v>21</v>
      </c>
      <c r="C139" s="1">
        <v>44417</v>
      </c>
      <c r="D139">
        <v>221</v>
      </c>
      <c r="E139" t="s">
        <v>0</v>
      </c>
      <c r="F139">
        <v>1</v>
      </c>
      <c r="G139">
        <v>70.73493950000001</v>
      </c>
      <c r="H139" t="s">
        <v>1</v>
      </c>
      <c r="I139">
        <v>1</v>
      </c>
      <c r="J139">
        <v>41.993491525423728</v>
      </c>
      <c r="K139">
        <v>0.59367395833319014</v>
      </c>
      <c r="L139" t="s">
        <v>2</v>
      </c>
      <c r="M139">
        <v>1</v>
      </c>
      <c r="N139">
        <v>90.900879882352925</v>
      </c>
      <c r="O139">
        <v>1.2850916467151698</v>
      </c>
      <c r="P139" t="s">
        <v>3</v>
      </c>
      <c r="Q139">
        <v>1</v>
      </c>
      <c r="R139">
        <v>74.062176220472452</v>
      </c>
      <c r="S139">
        <v>1.0470380938188608</v>
      </c>
      <c r="U139" t="s">
        <v>3</v>
      </c>
      <c r="V139" t="s">
        <v>21</v>
      </c>
      <c r="W139">
        <v>221</v>
      </c>
      <c r="X139">
        <f t="shared" si="10"/>
        <v>0.75606881259206371</v>
      </c>
      <c r="Y139">
        <f t="shared" si="11"/>
        <v>1.0470380938188608</v>
      </c>
      <c r="Z139">
        <f t="shared" si="12"/>
        <v>1.4244136682821755</v>
      </c>
      <c r="AA139">
        <f t="shared" si="13"/>
        <v>0.90155345320546232</v>
      </c>
      <c r="AB139">
        <f t="shared" si="14"/>
        <v>1.2357258810505183</v>
      </c>
    </row>
    <row r="140" spans="1:28" x14ac:dyDescent="0.3">
      <c r="A140" s="1" t="s">
        <v>13</v>
      </c>
      <c r="B140" s="1" t="s">
        <v>21</v>
      </c>
      <c r="C140" s="1">
        <v>44417</v>
      </c>
      <c r="D140">
        <v>221</v>
      </c>
      <c r="E140" t="s">
        <v>0</v>
      </c>
      <c r="F140">
        <v>2</v>
      </c>
      <c r="G140">
        <v>60.205609584905659</v>
      </c>
      <c r="H140" t="s">
        <v>1</v>
      </c>
      <c r="I140">
        <v>2</v>
      </c>
      <c r="J140">
        <v>57.560268067226893</v>
      </c>
      <c r="K140">
        <v>0.95606154416644284</v>
      </c>
      <c r="L140" t="s">
        <v>2</v>
      </c>
      <c r="M140">
        <v>2</v>
      </c>
      <c r="N140">
        <v>90.866399866666683</v>
      </c>
      <c r="O140">
        <v>1.5092679983336319</v>
      </c>
      <c r="P140" t="s">
        <v>3</v>
      </c>
      <c r="Q140">
        <v>2</v>
      </c>
      <c r="R140">
        <v>85.757693199999977</v>
      </c>
      <c r="S140">
        <v>1.4244136682821755</v>
      </c>
      <c r="U140" t="s">
        <v>3</v>
      </c>
      <c r="V140" t="s">
        <v>21</v>
      </c>
      <c r="W140">
        <v>221</v>
      </c>
      <c r="X140">
        <f t="shared" si="10"/>
        <v>0.75606881259206371</v>
      </c>
      <c r="Y140">
        <f t="shared" si="11"/>
        <v>0.86939492924733941</v>
      </c>
      <c r="Z140">
        <f t="shared" si="12"/>
        <v>1.4244136682821755</v>
      </c>
      <c r="AA140">
        <f t="shared" si="13"/>
        <v>0.81273187091970156</v>
      </c>
      <c r="AB140">
        <f t="shared" si="14"/>
        <v>1.1469042987647575</v>
      </c>
    </row>
    <row r="141" spans="1:28" x14ac:dyDescent="0.3">
      <c r="A141" s="1" t="s">
        <v>13</v>
      </c>
      <c r="B141" s="1" t="s">
        <v>21</v>
      </c>
      <c r="C141" s="1">
        <v>44417</v>
      </c>
      <c r="D141">
        <v>221</v>
      </c>
      <c r="E141" t="s">
        <v>0</v>
      </c>
      <c r="F141">
        <v>3</v>
      </c>
      <c r="G141">
        <v>102.53041233333335</v>
      </c>
      <c r="H141" t="s">
        <v>1</v>
      </c>
      <c r="I141">
        <v>3</v>
      </c>
      <c r="J141">
        <v>29.470987272727275</v>
      </c>
      <c r="K141">
        <v>0.28743654299287408</v>
      </c>
      <c r="L141" t="s">
        <v>2</v>
      </c>
      <c r="M141">
        <v>3</v>
      </c>
      <c r="N141">
        <v>101.9915896</v>
      </c>
      <c r="O141">
        <v>0.99474475210748592</v>
      </c>
      <c r="P141" t="s">
        <v>3</v>
      </c>
      <c r="Q141">
        <v>3</v>
      </c>
      <c r="R141">
        <v>77.520047107438032</v>
      </c>
      <c r="S141">
        <v>0.75606881259206371</v>
      </c>
      <c r="U141" t="s">
        <v>3</v>
      </c>
      <c r="V141" t="s">
        <v>21</v>
      </c>
      <c r="W141">
        <v>221</v>
      </c>
      <c r="X141">
        <f t="shared" si="10"/>
        <v>0.75606881259206371</v>
      </c>
      <c r="Y141">
        <f t="shared" si="11"/>
        <v>0.86939492924733941</v>
      </c>
      <c r="Z141">
        <f t="shared" si="12"/>
        <v>0.97319982183008236</v>
      </c>
      <c r="AA141">
        <f t="shared" si="13"/>
        <v>0.81273187091970156</v>
      </c>
      <c r="AB141">
        <f t="shared" si="14"/>
        <v>0.92129737553871083</v>
      </c>
    </row>
    <row r="142" spans="1:28" x14ac:dyDescent="0.3">
      <c r="A142" s="1" t="s">
        <v>14</v>
      </c>
      <c r="B142" s="1" t="s">
        <v>24</v>
      </c>
      <c r="C142" s="1">
        <v>44417</v>
      </c>
      <c r="D142">
        <v>221</v>
      </c>
      <c r="E142" t="s">
        <v>0</v>
      </c>
      <c r="F142">
        <v>1</v>
      </c>
      <c r="G142">
        <v>54.897769299999993</v>
      </c>
      <c r="H142" t="s">
        <v>1</v>
      </c>
      <c r="I142">
        <v>1</v>
      </c>
      <c r="J142">
        <v>36.40582998</v>
      </c>
      <c r="K142">
        <v>0.66315681755761258</v>
      </c>
      <c r="L142" t="s">
        <v>2</v>
      </c>
      <c r="M142">
        <v>1</v>
      </c>
      <c r="N142">
        <v>30.294932371794875</v>
      </c>
      <c r="O142">
        <v>0.55184268428544103</v>
      </c>
      <c r="P142" t="s">
        <v>3</v>
      </c>
      <c r="Q142">
        <v>1</v>
      </c>
      <c r="R142">
        <v>47.727842256410256</v>
      </c>
      <c r="S142">
        <v>0.86939492924733941</v>
      </c>
      <c r="U142" t="s">
        <v>3</v>
      </c>
      <c r="V142" t="s">
        <v>24</v>
      </c>
      <c r="W142">
        <v>221</v>
      </c>
      <c r="X142">
        <f t="shared" si="10"/>
        <v>0.86939492924733941</v>
      </c>
      <c r="Y142">
        <f t="shared" si="11"/>
        <v>0.97319982183008236</v>
      </c>
      <c r="Z142">
        <f t="shared" si="12"/>
        <v>1.1484621818589207</v>
      </c>
      <c r="AA142">
        <f t="shared" si="13"/>
        <v>0.92129737553871083</v>
      </c>
      <c r="AB142">
        <f t="shared" si="14"/>
        <v>1.0608310018445015</v>
      </c>
    </row>
    <row r="143" spans="1:28" x14ac:dyDescent="0.3">
      <c r="A143" s="1" t="s">
        <v>14</v>
      </c>
      <c r="B143" s="1" t="s">
        <v>24</v>
      </c>
      <c r="C143" s="1">
        <v>44417</v>
      </c>
      <c r="D143">
        <v>221</v>
      </c>
      <c r="E143" t="s">
        <v>0</v>
      </c>
      <c r="F143">
        <v>2</v>
      </c>
      <c r="G143">
        <v>53.218542999999997</v>
      </c>
      <c r="H143" t="s">
        <v>1</v>
      </c>
      <c r="I143">
        <v>2</v>
      </c>
      <c r="J143">
        <v>40.135258326530611</v>
      </c>
      <c r="K143">
        <v>0.75415928479159255</v>
      </c>
      <c r="L143" t="s">
        <v>2</v>
      </c>
      <c r="M143">
        <v>2</v>
      </c>
      <c r="N143">
        <v>31.659634210526328</v>
      </c>
      <c r="O143">
        <v>0.59489855275681502</v>
      </c>
      <c r="P143" t="s">
        <v>3</v>
      </c>
      <c r="Q143">
        <v>2</v>
      </c>
      <c r="R143">
        <v>51.792276565656572</v>
      </c>
      <c r="S143">
        <v>0.97319982183008236</v>
      </c>
      <c r="U143" t="s">
        <v>3</v>
      </c>
      <c r="V143" t="s">
        <v>24</v>
      </c>
      <c r="W143">
        <v>221</v>
      </c>
      <c r="X143">
        <f t="shared" si="10"/>
        <v>0.74019106959355174</v>
      </c>
      <c r="Y143">
        <f t="shared" si="11"/>
        <v>0.97319982183008236</v>
      </c>
      <c r="Z143">
        <f t="shared" si="12"/>
        <v>1.1484621818589207</v>
      </c>
      <c r="AA143">
        <f t="shared" si="13"/>
        <v>0.85669544571181699</v>
      </c>
      <c r="AB143">
        <f t="shared" si="14"/>
        <v>1.0608310018445015</v>
      </c>
    </row>
    <row r="144" spans="1:28" x14ac:dyDescent="0.3">
      <c r="A144" s="1" t="s">
        <v>14</v>
      </c>
      <c r="B144" s="1" t="s">
        <v>24</v>
      </c>
      <c r="C144" s="1">
        <v>44417</v>
      </c>
      <c r="D144">
        <v>221</v>
      </c>
      <c r="E144" t="s">
        <v>0</v>
      </c>
      <c r="F144">
        <v>3</v>
      </c>
      <c r="G144">
        <v>50.021949999999997</v>
      </c>
      <c r="H144" t="s">
        <v>1</v>
      </c>
      <c r="I144">
        <v>3</v>
      </c>
      <c r="J144">
        <v>34.974584646464642</v>
      </c>
      <c r="K144">
        <v>0.69918475082368126</v>
      </c>
      <c r="L144" t="s">
        <v>2</v>
      </c>
      <c r="M144">
        <v>3</v>
      </c>
      <c r="N144">
        <v>41.73669125</v>
      </c>
      <c r="O144">
        <v>0.83436753765097127</v>
      </c>
      <c r="P144" t="s">
        <v>3</v>
      </c>
      <c r="Q144">
        <v>3</v>
      </c>
      <c r="R144">
        <v>57.448317837837834</v>
      </c>
      <c r="S144">
        <v>1.1484621818589207</v>
      </c>
      <c r="U144" t="s">
        <v>3</v>
      </c>
      <c r="V144" t="s">
        <v>24</v>
      </c>
      <c r="W144">
        <v>221</v>
      </c>
      <c r="X144">
        <f t="shared" si="10"/>
        <v>0.74019106959355174</v>
      </c>
      <c r="Y144">
        <f t="shared" si="11"/>
        <v>0.75030683371785523</v>
      </c>
      <c r="Z144">
        <f t="shared" si="12"/>
        <v>1.1484621818589207</v>
      </c>
      <c r="AA144">
        <f t="shared" si="13"/>
        <v>0.74524895165570348</v>
      </c>
      <c r="AB144">
        <f t="shared" si="14"/>
        <v>0.94938450778838801</v>
      </c>
    </row>
    <row r="145" spans="1:28" x14ac:dyDescent="0.3">
      <c r="A145" s="1" t="s">
        <v>13</v>
      </c>
      <c r="B145" s="1" t="s">
        <v>19</v>
      </c>
      <c r="C145" s="1">
        <v>44424</v>
      </c>
      <c r="D145">
        <v>228</v>
      </c>
      <c r="E145" t="s">
        <v>0</v>
      </c>
      <c r="F145">
        <v>1</v>
      </c>
      <c r="G145">
        <v>181.81490499999998</v>
      </c>
      <c r="H145" t="s">
        <v>1</v>
      </c>
      <c r="I145">
        <v>1</v>
      </c>
      <c r="J145">
        <v>171.918735</v>
      </c>
      <c r="K145">
        <v>0.94557008403683962</v>
      </c>
      <c r="L145" t="s">
        <v>2</v>
      </c>
      <c r="M145">
        <v>1</v>
      </c>
      <c r="N145">
        <v>204.30462889999993</v>
      </c>
      <c r="O145">
        <v>1.1236957107559469</v>
      </c>
      <c r="P145" t="s">
        <v>3</v>
      </c>
      <c r="Q145">
        <v>1</v>
      </c>
      <c r="R145">
        <v>134.57776899999999</v>
      </c>
      <c r="S145">
        <v>0.74019106959355174</v>
      </c>
      <c r="U145" t="s">
        <v>3</v>
      </c>
      <c r="V145" t="s">
        <v>19</v>
      </c>
      <c r="W145">
        <v>221</v>
      </c>
      <c r="X145">
        <f t="shared" si="10"/>
        <v>0.74019106959355174</v>
      </c>
      <c r="Y145">
        <f t="shared" si="11"/>
        <v>0.75030683371785523</v>
      </c>
      <c r="Z145">
        <f t="shared" si="12"/>
        <v>0.7552258418010096</v>
      </c>
      <c r="AA145">
        <f t="shared" si="13"/>
        <v>0.74524895165570348</v>
      </c>
      <c r="AB145">
        <f t="shared" si="14"/>
        <v>0.75276633775943247</v>
      </c>
    </row>
    <row r="146" spans="1:28" x14ac:dyDescent="0.3">
      <c r="A146" s="1" t="s">
        <v>13</v>
      </c>
      <c r="B146" s="1" t="s">
        <v>19</v>
      </c>
      <c r="C146" s="1">
        <v>44424</v>
      </c>
      <c r="D146">
        <v>228</v>
      </c>
      <c r="E146" t="s">
        <v>0</v>
      </c>
      <c r="F146">
        <v>2</v>
      </c>
      <c r="G146">
        <v>258.36192499999999</v>
      </c>
      <c r="H146" t="s">
        <v>1</v>
      </c>
      <c r="I146">
        <v>2</v>
      </c>
      <c r="J146">
        <v>163.14270379999999</v>
      </c>
      <c r="K146">
        <v>0.63145025645709985</v>
      </c>
      <c r="L146" t="s">
        <v>2</v>
      </c>
      <c r="M146">
        <v>2</v>
      </c>
      <c r="N146">
        <v>152.44478499999997</v>
      </c>
      <c r="O146">
        <v>0.5900435406649025</v>
      </c>
      <c r="P146" t="s">
        <v>3</v>
      </c>
      <c r="Q146">
        <v>2</v>
      </c>
      <c r="R146">
        <v>193.85071789999998</v>
      </c>
      <c r="S146">
        <v>0.75030683371785523</v>
      </c>
      <c r="U146" t="s">
        <v>3</v>
      </c>
      <c r="V146" t="s">
        <v>19</v>
      </c>
      <c r="W146">
        <v>228</v>
      </c>
      <c r="X146">
        <f t="shared" si="10"/>
        <v>0.59328517212996978</v>
      </c>
      <c r="Y146">
        <f t="shared" si="11"/>
        <v>0.75030683371785523</v>
      </c>
      <c r="Z146">
        <f t="shared" si="12"/>
        <v>0.7552258418010096</v>
      </c>
      <c r="AA146">
        <f t="shared" si="13"/>
        <v>0.67179600292391251</v>
      </c>
      <c r="AB146">
        <f t="shared" si="14"/>
        <v>0.75276633775943247</v>
      </c>
    </row>
    <row r="147" spans="1:28" x14ac:dyDescent="0.3">
      <c r="A147" s="1" t="s">
        <v>13</v>
      </c>
      <c r="B147" s="1" t="s">
        <v>19</v>
      </c>
      <c r="C147" s="1">
        <v>44424</v>
      </c>
      <c r="D147">
        <v>228</v>
      </c>
      <c r="E147" t="s">
        <v>0</v>
      </c>
      <c r="F147">
        <v>3</v>
      </c>
      <c r="G147">
        <v>232.92271299999999</v>
      </c>
      <c r="H147" t="s">
        <v>1</v>
      </c>
      <c r="I147">
        <v>3</v>
      </c>
      <c r="J147">
        <v>170.27655200000001</v>
      </c>
      <c r="K147">
        <v>0.7310431421945528</v>
      </c>
      <c r="L147" t="s">
        <v>2</v>
      </c>
      <c r="M147">
        <v>3</v>
      </c>
      <c r="N147">
        <v>148.07073799999998</v>
      </c>
      <c r="O147">
        <v>0.63570759627894247</v>
      </c>
      <c r="P147" t="s">
        <v>3</v>
      </c>
      <c r="Q147">
        <v>3</v>
      </c>
      <c r="R147">
        <v>175.90925199999995</v>
      </c>
      <c r="S147">
        <v>0.7552258418010096</v>
      </c>
      <c r="U147" t="s">
        <v>3</v>
      </c>
      <c r="V147" t="s">
        <v>19</v>
      </c>
      <c r="W147">
        <v>228</v>
      </c>
      <c r="X147">
        <f t="shared" si="10"/>
        <v>0.59328517212996978</v>
      </c>
      <c r="Y147">
        <f t="shared" si="11"/>
        <v>0.7552258418010096</v>
      </c>
      <c r="Z147">
        <f t="shared" si="12"/>
        <v>1.0171458760190859</v>
      </c>
      <c r="AA147">
        <f t="shared" si="13"/>
        <v>0.67425550696548964</v>
      </c>
      <c r="AB147">
        <f t="shared" si="14"/>
        <v>0.88618585891004775</v>
      </c>
    </row>
    <row r="148" spans="1:28" x14ac:dyDescent="0.3">
      <c r="A148" s="1" t="s">
        <v>14</v>
      </c>
      <c r="B148" s="1" t="s">
        <v>22</v>
      </c>
      <c r="C148" s="1">
        <v>44424</v>
      </c>
      <c r="D148">
        <v>228</v>
      </c>
      <c r="E148" t="s">
        <v>0</v>
      </c>
      <c r="F148">
        <v>1</v>
      </c>
      <c r="G148">
        <v>9.5685957894736831</v>
      </c>
      <c r="H148" t="s">
        <v>1</v>
      </c>
      <c r="I148">
        <v>1</v>
      </c>
      <c r="J148">
        <v>3.3281690000000022</v>
      </c>
      <c r="K148">
        <v>0.34782209147775767</v>
      </c>
      <c r="L148" t="s">
        <v>2</v>
      </c>
      <c r="M148">
        <v>1</v>
      </c>
      <c r="N148">
        <v>2.2777737500000002</v>
      </c>
      <c r="O148">
        <v>0.23804681482164355</v>
      </c>
      <c r="P148" t="s">
        <v>3</v>
      </c>
      <c r="Q148">
        <v>1</v>
      </c>
      <c r="R148">
        <v>5.676905999999998</v>
      </c>
      <c r="S148">
        <v>0.59328517212996978</v>
      </c>
      <c r="U148" t="s">
        <v>3</v>
      </c>
      <c r="V148" t="s">
        <v>22</v>
      </c>
      <c r="W148">
        <v>228</v>
      </c>
      <c r="X148">
        <f t="shared" si="10"/>
        <v>0.59328517212996978</v>
      </c>
      <c r="Y148">
        <f t="shared" si="11"/>
        <v>1.0171458760190859</v>
      </c>
      <c r="Z148">
        <f t="shared" si="12"/>
        <v>1.5854308309755882</v>
      </c>
      <c r="AA148">
        <f t="shared" si="13"/>
        <v>0.80521552407452779</v>
      </c>
      <c r="AB148">
        <f t="shared" si="14"/>
        <v>1.3012883534973372</v>
      </c>
    </row>
    <row r="149" spans="1:28" x14ac:dyDescent="0.3">
      <c r="A149" s="1" t="s">
        <v>14</v>
      </c>
      <c r="B149" s="1" t="s">
        <v>22</v>
      </c>
      <c r="C149" s="1">
        <v>44424</v>
      </c>
      <c r="D149">
        <v>228</v>
      </c>
      <c r="E149" t="s">
        <v>0</v>
      </c>
      <c r="F149">
        <v>2</v>
      </c>
      <c r="G149">
        <v>10.575879999999996</v>
      </c>
      <c r="H149" t="s">
        <v>1</v>
      </c>
      <c r="I149">
        <v>2</v>
      </c>
      <c r="J149">
        <v>1.8568600000000051</v>
      </c>
      <c r="K149">
        <v>0.17557498761332443</v>
      </c>
      <c r="L149" t="s">
        <v>2</v>
      </c>
      <c r="M149">
        <v>2</v>
      </c>
      <c r="N149">
        <v>3.7477510000000001</v>
      </c>
      <c r="O149">
        <v>0.35436776892324812</v>
      </c>
      <c r="P149" t="s">
        <v>3</v>
      </c>
      <c r="Q149">
        <v>2</v>
      </c>
      <c r="R149">
        <v>10.757212727272726</v>
      </c>
      <c r="S149">
        <v>1.0171458760190859</v>
      </c>
      <c r="U149" t="s">
        <v>3</v>
      </c>
      <c r="V149" t="s">
        <v>22</v>
      </c>
      <c r="W149">
        <v>228</v>
      </c>
      <c r="X149">
        <f t="shared" si="10"/>
        <v>0.71794333605342209</v>
      </c>
      <c r="Y149">
        <f t="shared" si="11"/>
        <v>1.0171458760190859</v>
      </c>
      <c r="Z149">
        <f t="shared" si="12"/>
        <v>1.5854308309755882</v>
      </c>
      <c r="AA149">
        <f t="shared" si="13"/>
        <v>0.86754460603625394</v>
      </c>
      <c r="AB149">
        <f t="shared" si="14"/>
        <v>1.3012883534973372</v>
      </c>
    </row>
    <row r="150" spans="1:28" x14ac:dyDescent="0.3">
      <c r="A150" s="1" t="s">
        <v>14</v>
      </c>
      <c r="B150" s="1" t="s">
        <v>22</v>
      </c>
      <c r="C150" s="1">
        <v>44424</v>
      </c>
      <c r="D150">
        <v>228</v>
      </c>
      <c r="E150" t="s">
        <v>0</v>
      </c>
      <c r="F150">
        <v>3</v>
      </c>
      <c r="G150">
        <v>5.7293302439024378</v>
      </c>
      <c r="H150" t="s">
        <v>1</v>
      </c>
      <c r="I150">
        <v>3</v>
      </c>
      <c r="J150">
        <v>2.9214080000000031</v>
      </c>
      <c r="K150">
        <v>0.50990392866760892</v>
      </c>
      <c r="L150" t="s">
        <v>2</v>
      </c>
      <c r="M150">
        <v>3</v>
      </c>
      <c r="N150">
        <v>5.6720666666666668</v>
      </c>
      <c r="O150">
        <v>0.99000518825098016</v>
      </c>
      <c r="P150" t="s">
        <v>3</v>
      </c>
      <c r="Q150">
        <v>3</v>
      </c>
      <c r="R150">
        <v>9.0834568095238115</v>
      </c>
      <c r="S150">
        <v>1.5854308309755882</v>
      </c>
      <c r="U150" t="s">
        <v>3</v>
      </c>
      <c r="V150" t="s">
        <v>22</v>
      </c>
      <c r="W150">
        <v>228</v>
      </c>
      <c r="X150">
        <f t="shared" si="10"/>
        <v>0.71794333605342209</v>
      </c>
      <c r="Y150">
        <f t="shared" si="11"/>
        <v>0.82740907866825641</v>
      </c>
      <c r="Z150">
        <f t="shared" si="12"/>
        <v>1.5854308309755882</v>
      </c>
      <c r="AA150">
        <f t="shared" si="13"/>
        <v>0.77267620736083931</v>
      </c>
      <c r="AB150">
        <f t="shared" si="14"/>
        <v>1.2064199548219223</v>
      </c>
    </row>
    <row r="151" spans="1:28" x14ac:dyDescent="0.3">
      <c r="A151" s="1" t="s">
        <v>13</v>
      </c>
      <c r="B151" s="1" t="s">
        <v>20</v>
      </c>
      <c r="C151" s="1">
        <v>44424</v>
      </c>
      <c r="D151">
        <v>228</v>
      </c>
      <c r="E151" t="s">
        <v>0</v>
      </c>
      <c r="F151">
        <v>1</v>
      </c>
      <c r="G151">
        <v>157.60596533333336</v>
      </c>
      <c r="H151" t="s">
        <v>1</v>
      </c>
      <c r="I151">
        <v>1</v>
      </c>
      <c r="J151">
        <v>162.23811599999999</v>
      </c>
      <c r="K151">
        <v>1.0293907064803653</v>
      </c>
      <c r="L151" t="s">
        <v>2</v>
      </c>
      <c r="M151">
        <v>1</v>
      </c>
      <c r="N151">
        <v>220.85106106666663</v>
      </c>
      <c r="O151">
        <v>1.4012861797430776</v>
      </c>
      <c r="P151" t="s">
        <v>3</v>
      </c>
      <c r="Q151">
        <v>1</v>
      </c>
      <c r="R151">
        <v>113.15215253333334</v>
      </c>
      <c r="S151">
        <v>0.71794333605342209</v>
      </c>
      <c r="U151" t="s">
        <v>3</v>
      </c>
      <c r="V151" t="s">
        <v>20</v>
      </c>
      <c r="W151">
        <v>228</v>
      </c>
      <c r="X151">
        <f t="shared" si="10"/>
        <v>0.62284018455280288</v>
      </c>
      <c r="Y151">
        <f t="shared" si="11"/>
        <v>0.71794333605342209</v>
      </c>
      <c r="Z151">
        <f t="shared" si="12"/>
        <v>0.82740907866825641</v>
      </c>
      <c r="AA151">
        <f t="shared" si="13"/>
        <v>0.67039176030311243</v>
      </c>
      <c r="AB151">
        <f t="shared" si="14"/>
        <v>0.77267620736083931</v>
      </c>
    </row>
    <row r="152" spans="1:28" x14ac:dyDescent="0.3">
      <c r="A152" s="1" t="s">
        <v>13</v>
      </c>
      <c r="B152" s="1" t="s">
        <v>20</v>
      </c>
      <c r="C152" s="1">
        <v>44424</v>
      </c>
      <c r="D152">
        <v>228</v>
      </c>
      <c r="E152" t="s">
        <v>0</v>
      </c>
      <c r="F152">
        <v>2</v>
      </c>
      <c r="G152">
        <v>165.98690000000002</v>
      </c>
      <c r="H152" t="s">
        <v>1</v>
      </c>
      <c r="I152">
        <v>2</v>
      </c>
      <c r="J152">
        <v>138.17915733333334</v>
      </c>
      <c r="K152">
        <v>0.832470257190979</v>
      </c>
      <c r="L152" t="s">
        <v>2</v>
      </c>
      <c r="M152">
        <v>2</v>
      </c>
      <c r="N152">
        <v>217.72489066666665</v>
      </c>
      <c r="O152">
        <v>1.3116992405223944</v>
      </c>
      <c r="P152" t="s">
        <v>3</v>
      </c>
      <c r="Q152">
        <v>2</v>
      </c>
      <c r="R152">
        <v>137.33906800000003</v>
      </c>
      <c r="S152">
        <v>0.82740907866825641</v>
      </c>
      <c r="U152" t="s">
        <v>3</v>
      </c>
      <c r="V152" t="s">
        <v>20</v>
      </c>
      <c r="W152">
        <v>228</v>
      </c>
      <c r="X152">
        <f t="shared" si="10"/>
        <v>0.62284018455280288</v>
      </c>
      <c r="Y152">
        <f t="shared" si="11"/>
        <v>0.82740907866825641</v>
      </c>
      <c r="Z152">
        <f t="shared" si="12"/>
        <v>1.1033578938460677</v>
      </c>
      <c r="AA152">
        <f t="shared" si="13"/>
        <v>0.72512463161052965</v>
      </c>
      <c r="AB152">
        <f t="shared" si="14"/>
        <v>0.96538348625716208</v>
      </c>
    </row>
    <row r="153" spans="1:28" x14ac:dyDescent="0.3">
      <c r="A153" s="1" t="s">
        <v>13</v>
      </c>
      <c r="B153" s="1" t="s">
        <v>20</v>
      </c>
      <c r="C153" s="1">
        <v>44424</v>
      </c>
      <c r="D153">
        <v>228</v>
      </c>
      <c r="E153" t="s">
        <v>0</v>
      </c>
      <c r="F153">
        <v>3</v>
      </c>
      <c r="G153">
        <v>198.02563866666665</v>
      </c>
      <c r="H153" t="s">
        <v>1</v>
      </c>
      <c r="I153">
        <v>3</v>
      </c>
      <c r="J153">
        <v>170.43917466666667</v>
      </c>
      <c r="K153">
        <v>0.86069246292680401</v>
      </c>
      <c r="L153" t="s">
        <v>2</v>
      </c>
      <c r="M153">
        <v>3</v>
      </c>
      <c r="N153">
        <v>191.01702400000005</v>
      </c>
      <c r="O153">
        <v>0.96460753913555564</v>
      </c>
      <c r="P153" t="s">
        <v>3</v>
      </c>
      <c r="Q153">
        <v>3</v>
      </c>
      <c r="R153">
        <v>123.33832533333332</v>
      </c>
      <c r="S153">
        <v>0.62284018455280288</v>
      </c>
      <c r="U153" t="s">
        <v>3</v>
      </c>
      <c r="V153" t="s">
        <v>20</v>
      </c>
      <c r="W153">
        <v>228</v>
      </c>
      <c r="X153">
        <f t="shared" si="10"/>
        <v>0.62284018455280288</v>
      </c>
      <c r="Y153">
        <f t="shared" si="11"/>
        <v>1.0429157392327655</v>
      </c>
      <c r="Z153">
        <f t="shared" si="12"/>
        <v>1.1033578938460677</v>
      </c>
      <c r="AA153">
        <f t="shared" si="13"/>
        <v>0.83287796189278418</v>
      </c>
      <c r="AB153">
        <f t="shared" si="14"/>
        <v>1.0731368165394166</v>
      </c>
    </row>
    <row r="154" spans="1:28" x14ac:dyDescent="0.3">
      <c r="A154" s="1" t="s">
        <v>14</v>
      </c>
      <c r="B154" s="1" t="s">
        <v>23</v>
      </c>
      <c r="C154" s="1">
        <v>44424</v>
      </c>
      <c r="D154">
        <v>228</v>
      </c>
      <c r="E154" t="s">
        <v>0</v>
      </c>
      <c r="F154">
        <v>1</v>
      </c>
      <c r="G154">
        <v>36.273263809523812</v>
      </c>
      <c r="H154" t="s">
        <v>1</v>
      </c>
      <c r="I154">
        <v>1</v>
      </c>
      <c r="J154">
        <v>109.06529578947365</v>
      </c>
      <c r="K154">
        <v>3.0067681905381165</v>
      </c>
      <c r="L154" t="s">
        <v>2</v>
      </c>
      <c r="M154">
        <v>1</v>
      </c>
      <c r="N154">
        <v>120.64326199999996</v>
      </c>
      <c r="O154">
        <v>3.32595552011849</v>
      </c>
      <c r="P154" t="s">
        <v>3</v>
      </c>
      <c r="Q154">
        <v>1</v>
      </c>
      <c r="R154">
        <v>40.022391959798988</v>
      </c>
      <c r="S154">
        <v>1.1033578938460677</v>
      </c>
      <c r="U154" t="s">
        <v>3</v>
      </c>
      <c r="V154" t="s">
        <v>23</v>
      </c>
      <c r="W154">
        <v>228</v>
      </c>
      <c r="X154">
        <f t="shared" si="10"/>
        <v>0.75302399947364862</v>
      </c>
      <c r="Y154">
        <f t="shared" si="11"/>
        <v>1.0429157392327655</v>
      </c>
      <c r="Z154">
        <f t="shared" si="12"/>
        <v>1.1033578938460677</v>
      </c>
      <c r="AA154">
        <f t="shared" si="13"/>
        <v>0.897969869353207</v>
      </c>
      <c r="AB154">
        <f t="shared" si="14"/>
        <v>1.0731368165394166</v>
      </c>
    </row>
    <row r="155" spans="1:28" x14ac:dyDescent="0.3">
      <c r="A155" s="1" t="s">
        <v>14</v>
      </c>
      <c r="B155" s="1" t="s">
        <v>23</v>
      </c>
      <c r="C155" s="1">
        <v>44424</v>
      </c>
      <c r="D155">
        <v>228</v>
      </c>
      <c r="E155" t="s">
        <v>0</v>
      </c>
      <c r="F155">
        <v>2</v>
      </c>
      <c r="G155">
        <v>38.873976116504856</v>
      </c>
      <c r="H155" t="s">
        <v>1</v>
      </c>
      <c r="I155">
        <v>2</v>
      </c>
      <c r="J155">
        <v>110.28491250000002</v>
      </c>
      <c r="K155">
        <v>2.8369856525475403</v>
      </c>
      <c r="L155" t="s">
        <v>2</v>
      </c>
      <c r="M155">
        <v>2</v>
      </c>
      <c r="N155">
        <v>123.02011244444445</v>
      </c>
      <c r="O155">
        <v>3.1645878485842198</v>
      </c>
      <c r="P155" t="s">
        <v>3</v>
      </c>
      <c r="Q155">
        <v>2</v>
      </c>
      <c r="R155">
        <v>40.54228153846153</v>
      </c>
      <c r="S155">
        <v>1.0429157392327655</v>
      </c>
      <c r="U155" t="s">
        <v>3</v>
      </c>
      <c r="V155" t="s">
        <v>23</v>
      </c>
      <c r="W155">
        <v>228</v>
      </c>
      <c r="X155">
        <f t="shared" si="10"/>
        <v>0.75302399947364862</v>
      </c>
      <c r="Y155">
        <f t="shared" si="11"/>
        <v>1.0429157392327655</v>
      </c>
      <c r="Z155">
        <f t="shared" si="12"/>
        <v>1.0478254493227652</v>
      </c>
      <c r="AA155">
        <f t="shared" si="13"/>
        <v>0.897969869353207</v>
      </c>
      <c r="AB155">
        <f t="shared" si="14"/>
        <v>1.0453705942777654</v>
      </c>
    </row>
    <row r="156" spans="1:28" x14ac:dyDescent="0.3">
      <c r="A156" s="1" t="s">
        <v>14</v>
      </c>
      <c r="B156" s="1" t="s">
        <v>23</v>
      </c>
      <c r="C156" s="1">
        <v>44424</v>
      </c>
      <c r="D156">
        <v>228</v>
      </c>
      <c r="E156" t="s">
        <v>0</v>
      </c>
      <c r="F156">
        <v>3</v>
      </c>
      <c r="G156">
        <v>45.31885888888889</v>
      </c>
      <c r="H156" t="s">
        <v>1</v>
      </c>
      <c r="I156">
        <v>3</v>
      </c>
      <c r="J156">
        <v>147.40233849999998</v>
      </c>
      <c r="K156">
        <v>3.2525606803427158</v>
      </c>
      <c r="L156" t="s">
        <v>2</v>
      </c>
      <c r="M156">
        <v>3</v>
      </c>
      <c r="N156">
        <v>114.37145377777776</v>
      </c>
      <c r="O156">
        <v>2.5237055076384309</v>
      </c>
      <c r="P156" t="s">
        <v>3</v>
      </c>
      <c r="Q156">
        <v>3</v>
      </c>
      <c r="R156">
        <v>34.126188372093026</v>
      </c>
      <c r="S156">
        <v>0.75302399947364862</v>
      </c>
      <c r="U156" t="s">
        <v>3</v>
      </c>
      <c r="V156" t="s">
        <v>23</v>
      </c>
      <c r="W156">
        <v>228</v>
      </c>
      <c r="X156">
        <f t="shared" si="10"/>
        <v>0.75302399947364862</v>
      </c>
      <c r="Y156">
        <f t="shared" si="11"/>
        <v>1.0478254493227652</v>
      </c>
      <c r="Z156">
        <f t="shared" si="12"/>
        <v>1.5292135720922144</v>
      </c>
      <c r="AA156">
        <f t="shared" si="13"/>
        <v>0.90042472439820687</v>
      </c>
      <c r="AB156">
        <f t="shared" si="14"/>
        <v>1.2885195107074898</v>
      </c>
    </row>
    <row r="157" spans="1:28" x14ac:dyDescent="0.3">
      <c r="A157" s="1" t="s">
        <v>13</v>
      </c>
      <c r="B157" s="1" t="s">
        <v>21</v>
      </c>
      <c r="C157" s="1">
        <v>44424</v>
      </c>
      <c r="D157">
        <v>228</v>
      </c>
      <c r="E157" t="s">
        <v>0</v>
      </c>
      <c r="F157">
        <v>1</v>
      </c>
      <c r="G157">
        <v>158.05720400000001</v>
      </c>
      <c r="H157" t="s">
        <v>1</v>
      </c>
      <c r="I157">
        <v>1</v>
      </c>
      <c r="J157">
        <v>136.18445599999998</v>
      </c>
      <c r="K157">
        <v>0.86161498845696383</v>
      </c>
      <c r="L157" t="s">
        <v>2</v>
      </c>
      <c r="M157">
        <v>1</v>
      </c>
      <c r="N157">
        <v>128.04793599999999</v>
      </c>
      <c r="O157">
        <v>0.81013666419152897</v>
      </c>
      <c r="P157" t="s">
        <v>3</v>
      </c>
      <c r="Q157">
        <v>1</v>
      </c>
      <c r="R157">
        <v>165.61636079999997</v>
      </c>
      <c r="S157">
        <v>1.0478254493227652</v>
      </c>
      <c r="U157" t="s">
        <v>3</v>
      </c>
      <c r="V157" t="s">
        <v>21</v>
      </c>
      <c r="W157">
        <v>228</v>
      </c>
      <c r="X157">
        <f t="shared" si="10"/>
        <v>0.87958569347599302</v>
      </c>
      <c r="Y157">
        <f t="shared" si="11"/>
        <v>1.0478254493227652</v>
      </c>
      <c r="Z157">
        <f t="shared" si="12"/>
        <v>1.5292135720922144</v>
      </c>
      <c r="AA157">
        <f t="shared" si="13"/>
        <v>0.96370557139937918</v>
      </c>
      <c r="AB157">
        <f t="shared" si="14"/>
        <v>1.2885195107074898</v>
      </c>
    </row>
    <row r="158" spans="1:28" x14ac:dyDescent="0.3">
      <c r="A158" s="1" t="s">
        <v>13</v>
      </c>
      <c r="B158" s="1" t="s">
        <v>21</v>
      </c>
      <c r="C158" s="1">
        <v>44424</v>
      </c>
      <c r="D158">
        <v>228</v>
      </c>
      <c r="E158" t="s">
        <v>0</v>
      </c>
      <c r="F158">
        <v>2</v>
      </c>
      <c r="G158">
        <v>109.55246520000001</v>
      </c>
      <c r="H158" t="s">
        <v>1</v>
      </c>
      <c r="I158">
        <v>2</v>
      </c>
      <c r="J158">
        <v>137.66363695999999</v>
      </c>
      <c r="K158">
        <v>1.2566000838838265</v>
      </c>
      <c r="L158" t="s">
        <v>2</v>
      </c>
      <c r="M158">
        <v>2</v>
      </c>
      <c r="N158">
        <v>160.72018319999998</v>
      </c>
      <c r="O158">
        <v>1.4670613108211459</v>
      </c>
      <c r="P158" t="s">
        <v>3</v>
      </c>
      <c r="Q158">
        <v>2</v>
      </c>
      <c r="R158">
        <v>167.52911664000004</v>
      </c>
      <c r="S158">
        <v>1.5292135720922144</v>
      </c>
      <c r="U158" t="s">
        <v>3</v>
      </c>
      <c r="V158" t="s">
        <v>21</v>
      </c>
      <c r="W158">
        <v>228</v>
      </c>
      <c r="X158">
        <f t="shared" si="10"/>
        <v>0.87958569347599302</v>
      </c>
      <c r="Y158">
        <f t="shared" si="11"/>
        <v>0.90027718108909249</v>
      </c>
      <c r="Z158">
        <f t="shared" si="12"/>
        <v>1.5292135720922144</v>
      </c>
      <c r="AA158">
        <f t="shared" si="13"/>
        <v>0.88993143728254276</v>
      </c>
      <c r="AB158">
        <f t="shared" si="14"/>
        <v>1.2147453765906535</v>
      </c>
    </row>
    <row r="159" spans="1:28" x14ac:dyDescent="0.3">
      <c r="A159" s="1" t="s">
        <v>13</v>
      </c>
      <c r="B159" s="1" t="s">
        <v>21</v>
      </c>
      <c r="C159" s="1">
        <v>44424</v>
      </c>
      <c r="D159">
        <v>228</v>
      </c>
      <c r="E159" t="s">
        <v>0</v>
      </c>
      <c r="F159">
        <v>3</v>
      </c>
      <c r="G159">
        <v>148.66403599999998</v>
      </c>
      <c r="H159" t="s">
        <v>1</v>
      </c>
      <c r="I159">
        <v>3</v>
      </c>
      <c r="J159">
        <v>161.35545680000001</v>
      </c>
      <c r="K159">
        <v>1.0853698119698569</v>
      </c>
      <c r="L159" t="s">
        <v>2</v>
      </c>
      <c r="M159">
        <v>3</v>
      </c>
      <c r="N159">
        <v>123.03428159999999</v>
      </c>
      <c r="O159">
        <v>0.82759949824044865</v>
      </c>
      <c r="P159" t="s">
        <v>3</v>
      </c>
      <c r="Q159">
        <v>3</v>
      </c>
      <c r="R159">
        <v>130.76275919999998</v>
      </c>
      <c r="S159">
        <v>0.87958569347599302</v>
      </c>
      <c r="U159" t="s">
        <v>3</v>
      </c>
      <c r="V159" t="s">
        <v>21</v>
      </c>
      <c r="W159">
        <v>228</v>
      </c>
      <c r="X159">
        <f t="shared" si="10"/>
        <v>0.26613531831250065</v>
      </c>
      <c r="Y159">
        <f t="shared" si="11"/>
        <v>0.87958569347599302</v>
      </c>
      <c r="Z159">
        <f t="shared" si="12"/>
        <v>0.90027718108909249</v>
      </c>
      <c r="AA159">
        <f t="shared" si="13"/>
        <v>0.57286050589424686</v>
      </c>
      <c r="AB159">
        <f t="shared" si="14"/>
        <v>0.88993143728254276</v>
      </c>
    </row>
    <row r="160" spans="1:28" x14ac:dyDescent="0.3">
      <c r="A160" s="1" t="s">
        <v>14</v>
      </c>
      <c r="B160" s="1" t="s">
        <v>24</v>
      </c>
      <c r="C160" s="1">
        <v>44424</v>
      </c>
      <c r="D160">
        <v>228</v>
      </c>
      <c r="E160" t="s">
        <v>0</v>
      </c>
      <c r="F160">
        <v>1</v>
      </c>
      <c r="G160">
        <v>69.249461904761915</v>
      </c>
      <c r="H160" t="s">
        <v>1</v>
      </c>
      <c r="I160">
        <v>1</v>
      </c>
      <c r="J160">
        <v>18.219992499999996</v>
      </c>
      <c r="K160">
        <v>0.26310662926244494</v>
      </c>
      <c r="L160" t="s">
        <v>2</v>
      </c>
      <c r="M160">
        <v>1</v>
      </c>
      <c r="N160">
        <v>20.731758809523807</v>
      </c>
      <c r="O160">
        <v>0.299377904741498</v>
      </c>
      <c r="P160" t="s">
        <v>3</v>
      </c>
      <c r="Q160">
        <v>1</v>
      </c>
      <c r="R160">
        <v>62.343710355555558</v>
      </c>
      <c r="S160">
        <v>0.90027718108909249</v>
      </c>
      <c r="U160" t="s">
        <v>3</v>
      </c>
      <c r="V160" t="s">
        <v>24</v>
      </c>
      <c r="W160">
        <v>228</v>
      </c>
      <c r="X160">
        <f t="shared" si="10"/>
        <v>0.26613531831250065</v>
      </c>
      <c r="Y160">
        <f t="shared" si="11"/>
        <v>0.31068184517689051</v>
      </c>
      <c r="Z160">
        <f t="shared" si="12"/>
        <v>0.90027718108909249</v>
      </c>
      <c r="AA160">
        <f t="shared" si="13"/>
        <v>0.28840858174469558</v>
      </c>
      <c r="AB160">
        <f t="shared" si="14"/>
        <v>0.60547951313299153</v>
      </c>
    </row>
    <row r="161" spans="1:28" x14ac:dyDescent="0.3">
      <c r="A161" s="1" t="s">
        <v>14</v>
      </c>
      <c r="B161" s="1" t="s">
        <v>24</v>
      </c>
      <c r="C161" s="1">
        <v>44424</v>
      </c>
      <c r="D161">
        <v>228</v>
      </c>
      <c r="E161" t="s">
        <v>0</v>
      </c>
      <c r="F161">
        <v>2</v>
      </c>
      <c r="G161">
        <v>69.721951999999987</v>
      </c>
      <c r="H161" t="s">
        <v>1</v>
      </c>
      <c r="I161">
        <v>2</v>
      </c>
      <c r="J161">
        <v>21.046452299999995</v>
      </c>
      <c r="K161">
        <v>0.30186263717917705</v>
      </c>
      <c r="L161" t="s">
        <v>2</v>
      </c>
      <c r="M161">
        <v>2</v>
      </c>
      <c r="N161">
        <v>14.978074899999999</v>
      </c>
      <c r="O161">
        <v>0.21482581124521588</v>
      </c>
      <c r="P161" t="s">
        <v>3</v>
      </c>
      <c r="Q161">
        <v>2</v>
      </c>
      <c r="R161">
        <v>18.555473888888887</v>
      </c>
      <c r="S161">
        <v>0.26613531831250065</v>
      </c>
      <c r="U161" t="s">
        <v>3</v>
      </c>
      <c r="V161" t="s">
        <v>24</v>
      </c>
      <c r="W161">
        <v>228</v>
      </c>
      <c r="X161">
        <f t="shared" si="10"/>
        <v>0.26613531831250065</v>
      </c>
      <c r="Y161">
        <f t="shared" si="11"/>
        <v>0.31068184517689051</v>
      </c>
      <c r="Z161">
        <f t="shared" si="12"/>
        <v>1.4667001379978055</v>
      </c>
      <c r="AA161">
        <f t="shared" si="13"/>
        <v>0.28840858174469558</v>
      </c>
      <c r="AB161">
        <f t="shared" si="14"/>
        <v>0.88869099158734799</v>
      </c>
    </row>
    <row r="162" spans="1:28" x14ac:dyDescent="0.3">
      <c r="A162" s="1" t="s">
        <v>14</v>
      </c>
      <c r="B162" s="1" t="s">
        <v>24</v>
      </c>
      <c r="C162" s="1">
        <v>44424</v>
      </c>
      <c r="D162">
        <v>228</v>
      </c>
      <c r="E162" t="s">
        <v>0</v>
      </c>
      <c r="F162">
        <v>3</v>
      </c>
      <c r="G162">
        <v>64.637217500000006</v>
      </c>
      <c r="H162" t="s">
        <v>1</v>
      </c>
      <c r="I162">
        <v>3</v>
      </c>
      <c r="J162">
        <v>68.323888499999981</v>
      </c>
      <c r="K162">
        <v>1.0570363506133285</v>
      </c>
      <c r="L162" t="s">
        <v>2</v>
      </c>
      <c r="M162">
        <v>3</v>
      </c>
      <c r="N162">
        <v>66.519371399999983</v>
      </c>
      <c r="O162">
        <v>1.0291187333365639</v>
      </c>
      <c r="P162" t="s">
        <v>3</v>
      </c>
      <c r="Q162">
        <v>3</v>
      </c>
      <c r="R162">
        <v>20.081610000000001</v>
      </c>
      <c r="S162">
        <v>0.31068184517689051</v>
      </c>
      <c r="U162" t="s">
        <v>3</v>
      </c>
      <c r="V162" t="s">
        <v>24</v>
      </c>
      <c r="W162">
        <v>228</v>
      </c>
      <c r="X162">
        <f t="shared" si="10"/>
        <v>0.31068184517689051</v>
      </c>
      <c r="Y162">
        <f t="shared" si="11"/>
        <v>0.92936705421309096</v>
      </c>
      <c r="Z162">
        <f t="shared" si="12"/>
        <v>1.4667001379978055</v>
      </c>
      <c r="AA162">
        <f t="shared" si="13"/>
        <v>0.62002444969499071</v>
      </c>
      <c r="AB162">
        <f t="shared" si="14"/>
        <v>1.1980335961054482</v>
      </c>
    </row>
    <row r="163" spans="1:28" x14ac:dyDescent="0.3">
      <c r="A163" s="1" t="s">
        <v>13</v>
      </c>
      <c r="B163" s="1" t="s">
        <v>19</v>
      </c>
      <c r="C163" s="1">
        <v>44434</v>
      </c>
      <c r="D163">
        <v>238</v>
      </c>
      <c r="E163" t="s">
        <v>0</v>
      </c>
      <c r="F163">
        <v>1</v>
      </c>
      <c r="G163">
        <v>247.44005888888893</v>
      </c>
      <c r="H163" t="s">
        <v>1</v>
      </c>
      <c r="I163">
        <v>1</v>
      </c>
      <c r="J163">
        <v>233.2329</v>
      </c>
      <c r="K163">
        <v>0.94258343231615316</v>
      </c>
      <c r="L163" t="s">
        <v>2</v>
      </c>
      <c r="M163">
        <v>1</v>
      </c>
      <c r="N163">
        <v>224.45608979591836</v>
      </c>
      <c r="O163">
        <v>0.90711298244844285</v>
      </c>
      <c r="P163" t="s">
        <v>3</v>
      </c>
      <c r="Q163">
        <v>1</v>
      </c>
      <c r="R163">
        <v>362.9203685185185</v>
      </c>
      <c r="S163">
        <v>1.4667001379978055</v>
      </c>
      <c r="U163" t="s">
        <v>3</v>
      </c>
      <c r="V163" t="s">
        <v>19</v>
      </c>
      <c r="W163">
        <v>228</v>
      </c>
      <c r="X163">
        <f t="shared" si="10"/>
        <v>0.92936705421309096</v>
      </c>
      <c r="Y163">
        <f t="shared" si="11"/>
        <v>0.97931091548756521</v>
      </c>
      <c r="Z163">
        <f t="shared" si="12"/>
        <v>1.4667001379978055</v>
      </c>
      <c r="AA163">
        <f t="shared" si="13"/>
        <v>0.95433898485032809</v>
      </c>
      <c r="AB163">
        <f t="shared" si="14"/>
        <v>1.2230055267426854</v>
      </c>
    </row>
    <row r="164" spans="1:28" x14ac:dyDescent="0.3">
      <c r="A164" s="1" t="s">
        <v>13</v>
      </c>
      <c r="B164" s="1" t="s">
        <v>19</v>
      </c>
      <c r="C164" s="1">
        <v>44434</v>
      </c>
      <c r="D164">
        <v>238</v>
      </c>
      <c r="E164" t="s">
        <v>0</v>
      </c>
      <c r="F164">
        <v>2</v>
      </c>
      <c r="G164">
        <v>353.02289543478264</v>
      </c>
      <c r="H164" t="s">
        <v>1</v>
      </c>
      <c r="I164">
        <v>2</v>
      </c>
      <c r="J164">
        <v>238.54468559999995</v>
      </c>
      <c r="K164">
        <v>0.67572015493841708</v>
      </c>
      <c r="L164" t="s">
        <v>2</v>
      </c>
      <c r="M164">
        <v>2</v>
      </c>
      <c r="N164">
        <v>177.41890000000004</v>
      </c>
      <c r="O164">
        <v>0.50257051963015342</v>
      </c>
      <c r="P164" t="s">
        <v>3</v>
      </c>
      <c r="Q164">
        <v>2</v>
      </c>
      <c r="R164">
        <v>328.08784839999998</v>
      </c>
      <c r="S164">
        <v>0.92936705421309096</v>
      </c>
      <c r="U164" t="s">
        <v>3</v>
      </c>
      <c r="V164" t="s">
        <v>19</v>
      </c>
      <c r="W164">
        <v>238</v>
      </c>
      <c r="X164">
        <f t="shared" si="10"/>
        <v>0.92936705421309096</v>
      </c>
      <c r="Y164">
        <f t="shared" si="11"/>
        <v>0.97931091548756521</v>
      </c>
      <c r="Z164">
        <f t="shared" si="12"/>
        <v>1.627731746221821</v>
      </c>
      <c r="AA164">
        <f t="shared" si="13"/>
        <v>0.95433898485032809</v>
      </c>
      <c r="AB164">
        <f t="shared" si="14"/>
        <v>1.3035213308546931</v>
      </c>
    </row>
    <row r="165" spans="1:28" x14ac:dyDescent="0.3">
      <c r="A165" s="1" t="s">
        <v>13</v>
      </c>
      <c r="B165" s="1" t="s">
        <v>19</v>
      </c>
      <c r="C165" s="1">
        <v>44434</v>
      </c>
      <c r="D165">
        <v>238</v>
      </c>
      <c r="E165" t="s">
        <v>0</v>
      </c>
      <c r="F165">
        <v>3</v>
      </c>
      <c r="G165">
        <v>391.57547727272726</v>
      </c>
      <c r="H165" t="s">
        <v>1</v>
      </c>
      <c r="I165">
        <v>3</v>
      </c>
      <c r="J165">
        <v>219.51350600000001</v>
      </c>
      <c r="K165">
        <v>0.56059053424101857</v>
      </c>
      <c r="L165" t="s">
        <v>2</v>
      </c>
      <c r="M165">
        <v>3</v>
      </c>
      <c r="N165">
        <v>207.43099999999998</v>
      </c>
      <c r="O165">
        <v>0.5297343987032338</v>
      </c>
      <c r="P165" t="s">
        <v>3</v>
      </c>
      <c r="Q165">
        <v>3</v>
      </c>
      <c r="R165">
        <v>383.47413913043482</v>
      </c>
      <c r="S165">
        <v>0.97931091548756521</v>
      </c>
      <c r="U165" t="s">
        <v>3</v>
      </c>
      <c r="V165" t="s">
        <v>19</v>
      </c>
      <c r="W165">
        <v>238</v>
      </c>
      <c r="X165">
        <f t="shared" si="10"/>
        <v>0.97931091548756521</v>
      </c>
      <c r="Y165">
        <f t="shared" si="11"/>
        <v>1.2000632039268737</v>
      </c>
      <c r="Z165">
        <f t="shared" si="12"/>
        <v>1.627731746221821</v>
      </c>
      <c r="AA165">
        <f t="shared" si="13"/>
        <v>1.0896870597072195</v>
      </c>
      <c r="AB165">
        <f t="shared" si="14"/>
        <v>1.4138974750743474</v>
      </c>
    </row>
    <row r="166" spans="1:28" x14ac:dyDescent="0.3">
      <c r="A166" s="1" t="s">
        <v>14</v>
      </c>
      <c r="B166" s="1" t="s">
        <v>22</v>
      </c>
      <c r="C166" s="1">
        <v>44434</v>
      </c>
      <c r="D166">
        <v>238</v>
      </c>
      <c r="E166" t="s">
        <v>0</v>
      </c>
      <c r="F166">
        <v>1</v>
      </c>
      <c r="G166">
        <v>4.3786790000000009</v>
      </c>
      <c r="H166" t="s">
        <v>1</v>
      </c>
      <c r="I166">
        <v>1</v>
      </c>
      <c r="J166">
        <v>2.979169190476191</v>
      </c>
      <c r="K166">
        <v>0.68038081587533372</v>
      </c>
      <c r="L166" t="s">
        <v>2</v>
      </c>
      <c r="M166">
        <v>1</v>
      </c>
      <c r="N166">
        <v>5.4607403846153861</v>
      </c>
      <c r="O166">
        <v>1.2471205093169391</v>
      </c>
      <c r="P166" t="s">
        <v>3</v>
      </c>
      <c r="Q166">
        <v>1</v>
      </c>
      <c r="R166">
        <v>7.1273148148148184</v>
      </c>
      <c r="S166">
        <v>1.627731746221821</v>
      </c>
      <c r="U166" t="s">
        <v>3</v>
      </c>
      <c r="V166" t="s">
        <v>22</v>
      </c>
      <c r="W166">
        <v>238</v>
      </c>
      <c r="X166">
        <f t="shared" si="10"/>
        <v>1.2000632039268737</v>
      </c>
      <c r="Y166">
        <f t="shared" si="11"/>
        <v>1.627731746221821</v>
      </c>
      <c r="Z166">
        <f t="shared" si="12"/>
        <v>1.6544725983024269</v>
      </c>
      <c r="AA166">
        <f t="shared" si="13"/>
        <v>1.4138974750743474</v>
      </c>
      <c r="AB166">
        <f t="shared" si="14"/>
        <v>1.641102172262124</v>
      </c>
    </row>
    <row r="167" spans="1:28" x14ac:dyDescent="0.3">
      <c r="A167" s="1" t="s">
        <v>14</v>
      </c>
      <c r="B167" s="1" t="s">
        <v>22</v>
      </c>
      <c r="C167" s="1">
        <v>44434</v>
      </c>
      <c r="D167">
        <v>238</v>
      </c>
      <c r="E167" t="s">
        <v>0</v>
      </c>
      <c r="F167">
        <v>2</v>
      </c>
      <c r="G167">
        <v>6.5494724999999958</v>
      </c>
      <c r="H167" t="s">
        <v>1</v>
      </c>
      <c r="I167">
        <v>2</v>
      </c>
      <c r="J167">
        <v>4.7990471428571428</v>
      </c>
      <c r="K167">
        <v>0.7327379636844259</v>
      </c>
      <c r="L167" t="s">
        <v>2</v>
      </c>
      <c r="M167">
        <v>2</v>
      </c>
      <c r="N167">
        <v>3.6773584905660384</v>
      </c>
      <c r="O167">
        <v>0.56147399512953766</v>
      </c>
      <c r="P167" t="s">
        <v>3</v>
      </c>
      <c r="Q167">
        <v>2</v>
      </c>
      <c r="R167">
        <v>7.8597809523809463</v>
      </c>
      <c r="S167">
        <v>1.2000632039268737</v>
      </c>
      <c r="U167" t="s">
        <v>3</v>
      </c>
      <c r="V167" t="s">
        <v>22</v>
      </c>
      <c r="W167">
        <v>238</v>
      </c>
      <c r="X167">
        <f t="shared" si="10"/>
        <v>0.61668852250448913</v>
      </c>
      <c r="Y167">
        <f t="shared" si="11"/>
        <v>1.2000632039268737</v>
      </c>
      <c r="Z167">
        <f t="shared" si="12"/>
        <v>1.6544725983024269</v>
      </c>
      <c r="AA167">
        <f t="shared" si="13"/>
        <v>0.90837586321568142</v>
      </c>
      <c r="AB167">
        <f t="shared" si="14"/>
        <v>1.4272679011146503</v>
      </c>
    </row>
    <row r="168" spans="1:28" x14ac:dyDescent="0.3">
      <c r="A168" s="1" t="s">
        <v>14</v>
      </c>
      <c r="B168" s="1" t="s">
        <v>22</v>
      </c>
      <c r="C168" s="1">
        <v>44434</v>
      </c>
      <c r="D168">
        <v>238</v>
      </c>
      <c r="E168" t="s">
        <v>0</v>
      </c>
      <c r="F168">
        <v>3</v>
      </c>
      <c r="G168">
        <v>3.6435143478260876</v>
      </c>
      <c r="H168" t="s">
        <v>1</v>
      </c>
      <c r="I168">
        <v>3</v>
      </c>
      <c r="J168">
        <v>3.969787999999999</v>
      </c>
      <c r="K168">
        <v>1.0895491607899344</v>
      </c>
      <c r="L168" t="s">
        <v>2</v>
      </c>
      <c r="M168">
        <v>3</v>
      </c>
      <c r="N168">
        <v>5.8658119266055131</v>
      </c>
      <c r="O168">
        <v>1.6099324351790643</v>
      </c>
      <c r="P168" t="s">
        <v>3</v>
      </c>
      <c r="Q168">
        <v>3</v>
      </c>
      <c r="R168">
        <v>6.0280946499999999</v>
      </c>
      <c r="S168">
        <v>1.6544725983024269</v>
      </c>
      <c r="U168" t="s">
        <v>3</v>
      </c>
      <c r="V168" t="s">
        <v>22</v>
      </c>
      <c r="W168">
        <v>238</v>
      </c>
      <c r="X168">
        <f t="shared" si="10"/>
        <v>0.58084953230061609</v>
      </c>
      <c r="Y168">
        <f t="shared" si="11"/>
        <v>0.61668852250448913</v>
      </c>
      <c r="Z168">
        <f t="shared" si="12"/>
        <v>1.6544725983024269</v>
      </c>
      <c r="AA168">
        <f t="shared" si="13"/>
        <v>0.59876902740255256</v>
      </c>
      <c r="AB168">
        <f t="shared" si="14"/>
        <v>1.1355805604034579</v>
      </c>
    </row>
    <row r="169" spans="1:28" x14ac:dyDescent="0.3">
      <c r="A169" s="1" t="s">
        <v>13</v>
      </c>
      <c r="B169" s="1" t="s">
        <v>20</v>
      </c>
      <c r="C169" s="1">
        <v>44434</v>
      </c>
      <c r="D169">
        <v>238</v>
      </c>
      <c r="E169" t="s">
        <v>0</v>
      </c>
      <c r="F169">
        <v>1</v>
      </c>
      <c r="G169">
        <v>79.7283282352941</v>
      </c>
      <c r="H169" t="s">
        <v>1</v>
      </c>
      <c r="I169">
        <v>1</v>
      </c>
      <c r="J169">
        <v>65.226725000000002</v>
      </c>
      <c r="K169">
        <v>0.81811228761128674</v>
      </c>
      <c r="L169" t="s">
        <v>2</v>
      </c>
      <c r="M169">
        <v>1</v>
      </c>
      <c r="N169">
        <v>186.58043846153845</v>
      </c>
      <c r="O169">
        <v>2.3402025677862275</v>
      </c>
      <c r="P169" t="s">
        <v>3</v>
      </c>
      <c r="Q169">
        <v>1</v>
      </c>
      <c r="R169">
        <v>49.167544941176466</v>
      </c>
      <c r="S169">
        <v>0.61668852250448913</v>
      </c>
      <c r="U169" t="s">
        <v>3</v>
      </c>
      <c r="V169" t="s">
        <v>20</v>
      </c>
      <c r="W169">
        <v>238</v>
      </c>
      <c r="X169">
        <f t="shared" si="10"/>
        <v>0.58084953230061609</v>
      </c>
      <c r="Y169">
        <f t="shared" si="11"/>
        <v>0.61668852250448913</v>
      </c>
      <c r="Z169">
        <f t="shared" si="12"/>
        <v>0.87705120175022966</v>
      </c>
      <c r="AA169">
        <f t="shared" si="13"/>
        <v>0.59876902740255256</v>
      </c>
      <c r="AB169">
        <f t="shared" si="14"/>
        <v>0.7468698621273594</v>
      </c>
    </row>
    <row r="170" spans="1:28" x14ac:dyDescent="0.3">
      <c r="A170" s="1" t="s">
        <v>13</v>
      </c>
      <c r="B170" s="1" t="s">
        <v>20</v>
      </c>
      <c r="C170" s="1">
        <v>44434</v>
      </c>
      <c r="D170">
        <v>238</v>
      </c>
      <c r="E170" t="s">
        <v>0</v>
      </c>
      <c r="F170">
        <v>2</v>
      </c>
      <c r="G170">
        <v>80.816853333333341</v>
      </c>
      <c r="H170" t="s">
        <v>1</v>
      </c>
      <c r="I170">
        <v>2</v>
      </c>
      <c r="J170">
        <v>66.283726588235282</v>
      </c>
      <c r="K170">
        <v>0.82017207864855346</v>
      </c>
      <c r="L170" t="s">
        <v>2</v>
      </c>
      <c r="M170">
        <v>2</v>
      </c>
      <c r="N170">
        <v>117.03747563025212</v>
      </c>
      <c r="O170">
        <v>1.4481815463356995</v>
      </c>
      <c r="P170" t="s">
        <v>3</v>
      </c>
      <c r="Q170">
        <v>2</v>
      </c>
      <c r="R170">
        <v>46.942431460674158</v>
      </c>
      <c r="S170">
        <v>0.58084953230061609</v>
      </c>
      <c r="U170" t="s">
        <v>3</v>
      </c>
      <c r="V170" t="s">
        <v>20</v>
      </c>
      <c r="W170">
        <v>238</v>
      </c>
      <c r="X170">
        <f t="shared" si="10"/>
        <v>0.58084953230061609</v>
      </c>
      <c r="Y170">
        <f t="shared" si="11"/>
        <v>0.87705120175022966</v>
      </c>
      <c r="Z170">
        <f t="shared" si="12"/>
        <v>1.0658340946619744</v>
      </c>
      <c r="AA170">
        <f t="shared" si="13"/>
        <v>0.72895036702542293</v>
      </c>
      <c r="AB170">
        <f t="shared" si="14"/>
        <v>0.97144264820610204</v>
      </c>
    </row>
    <row r="171" spans="1:28" x14ac:dyDescent="0.3">
      <c r="A171" s="1" t="s">
        <v>13</v>
      </c>
      <c r="B171" s="1" t="s">
        <v>20</v>
      </c>
      <c r="C171" s="1">
        <v>44434</v>
      </c>
      <c r="D171">
        <v>238</v>
      </c>
      <c r="E171" t="s">
        <v>0</v>
      </c>
      <c r="F171">
        <v>3</v>
      </c>
      <c r="G171">
        <v>61.771511904761866</v>
      </c>
      <c r="H171" t="s">
        <v>1</v>
      </c>
      <c r="I171">
        <v>3</v>
      </c>
      <c r="J171">
        <v>56.071864656716414</v>
      </c>
      <c r="K171">
        <v>0.907730164402758</v>
      </c>
      <c r="L171" t="s">
        <v>2</v>
      </c>
      <c r="M171">
        <v>3</v>
      </c>
      <c r="N171">
        <v>144.35012750000001</v>
      </c>
      <c r="O171">
        <v>2.3368397995916999</v>
      </c>
      <c r="P171" t="s">
        <v>3</v>
      </c>
      <c r="Q171">
        <v>3</v>
      </c>
      <c r="R171">
        <v>54.176778750000011</v>
      </c>
      <c r="S171">
        <v>0.87705120175022966</v>
      </c>
      <c r="U171" t="s">
        <v>3</v>
      </c>
      <c r="V171" t="s">
        <v>20</v>
      </c>
      <c r="W171">
        <v>238</v>
      </c>
      <c r="X171">
        <f t="shared" si="10"/>
        <v>0.87705120175022966</v>
      </c>
      <c r="Y171">
        <f t="shared" si="11"/>
        <v>1.0033289407079908</v>
      </c>
      <c r="Z171">
        <f t="shared" si="12"/>
        <v>1.0658340946619744</v>
      </c>
      <c r="AA171">
        <f t="shared" si="13"/>
        <v>0.94019007122911025</v>
      </c>
      <c r="AB171">
        <f t="shared" si="14"/>
        <v>1.0345815176849826</v>
      </c>
    </row>
    <row r="172" spans="1:28" x14ac:dyDescent="0.3">
      <c r="A172" s="1" t="s">
        <v>14</v>
      </c>
      <c r="B172" s="1" t="s">
        <v>23</v>
      </c>
      <c r="C172" s="1">
        <v>44433</v>
      </c>
      <c r="D172">
        <v>238</v>
      </c>
      <c r="E172" t="s">
        <v>0</v>
      </c>
      <c r="F172">
        <v>3</v>
      </c>
      <c r="G172">
        <v>40.673542211055256</v>
      </c>
      <c r="H172" t="s">
        <v>1</v>
      </c>
      <c r="I172">
        <v>1</v>
      </c>
      <c r="J172">
        <v>107.3072323076923</v>
      </c>
      <c r="K172">
        <v>2.6382563817745313</v>
      </c>
      <c r="L172" t="s">
        <v>2</v>
      </c>
      <c r="M172">
        <v>1</v>
      </c>
      <c r="N172">
        <v>100.46615652173912</v>
      </c>
      <c r="O172">
        <v>2.4700616435229472</v>
      </c>
      <c r="P172" t="s">
        <v>3</v>
      </c>
      <c r="Q172">
        <v>1</v>
      </c>
      <c r="R172">
        <v>43.351248039215683</v>
      </c>
      <c r="S172">
        <v>1.0658340946619744</v>
      </c>
      <c r="U172" t="s">
        <v>3</v>
      </c>
      <c r="V172" t="s">
        <v>23</v>
      </c>
      <c r="W172">
        <v>238</v>
      </c>
      <c r="X172">
        <f t="shared" si="10"/>
        <v>0.95100206911233098</v>
      </c>
      <c r="Y172">
        <f t="shared" si="11"/>
        <v>1.0033289407079908</v>
      </c>
      <c r="Z172">
        <f t="shared" si="12"/>
        <v>1.0658340946619744</v>
      </c>
      <c r="AA172">
        <f t="shared" si="13"/>
        <v>0.97716550491016085</v>
      </c>
      <c r="AB172">
        <f t="shared" si="14"/>
        <v>1.0345815176849826</v>
      </c>
    </row>
    <row r="173" spans="1:28" x14ac:dyDescent="0.3">
      <c r="A173" s="1" t="s">
        <v>14</v>
      </c>
      <c r="B173" s="1" t="s">
        <v>23</v>
      </c>
      <c r="C173" s="1">
        <v>44434</v>
      </c>
      <c r="D173">
        <v>238</v>
      </c>
      <c r="E173" t="s">
        <v>0</v>
      </c>
      <c r="F173">
        <v>1</v>
      </c>
      <c r="G173">
        <v>48.101098901098887</v>
      </c>
      <c r="H173" t="s">
        <v>1</v>
      </c>
      <c r="I173">
        <v>2</v>
      </c>
      <c r="J173">
        <v>88.650731282051268</v>
      </c>
      <c r="K173">
        <v>1.843008440707911</v>
      </c>
      <c r="L173" t="s">
        <v>2</v>
      </c>
      <c r="M173">
        <v>2</v>
      </c>
      <c r="N173">
        <v>111.72989677884613</v>
      </c>
      <c r="O173">
        <v>2.3228138094843738</v>
      </c>
      <c r="P173" t="s">
        <v>3</v>
      </c>
      <c r="Q173">
        <v>2</v>
      </c>
      <c r="R173">
        <v>48.261224607329844</v>
      </c>
      <c r="S173">
        <v>1.0033289407079908</v>
      </c>
      <c r="U173" t="s">
        <v>3</v>
      </c>
      <c r="V173" t="s">
        <v>23</v>
      </c>
      <c r="W173">
        <v>238</v>
      </c>
      <c r="X173">
        <f t="shared" si="10"/>
        <v>0.7103452944611155</v>
      </c>
      <c r="Y173">
        <f t="shared" si="11"/>
        <v>0.95100206911233098</v>
      </c>
      <c r="Z173">
        <f t="shared" si="12"/>
        <v>1.0033289407079908</v>
      </c>
      <c r="AA173">
        <f t="shared" si="13"/>
        <v>0.83067368178672329</v>
      </c>
      <c r="AB173">
        <f t="shared" si="14"/>
        <v>0.97716550491016085</v>
      </c>
    </row>
    <row r="174" spans="1:28" x14ac:dyDescent="0.3">
      <c r="A174" s="1" t="s">
        <v>14</v>
      </c>
      <c r="B174" s="1" t="s">
        <v>23</v>
      </c>
      <c r="C174" s="1">
        <v>44434</v>
      </c>
      <c r="D174">
        <v>238</v>
      </c>
      <c r="E174" t="s">
        <v>0</v>
      </c>
      <c r="F174">
        <v>2</v>
      </c>
      <c r="G174">
        <v>45.109134020618548</v>
      </c>
      <c r="H174" t="s">
        <v>1</v>
      </c>
      <c r="I174">
        <v>3</v>
      </c>
      <c r="J174">
        <v>104.76112717948719</v>
      </c>
      <c r="K174">
        <v>2.3223927803979305</v>
      </c>
      <c r="L174" t="s">
        <v>2</v>
      </c>
      <c r="M174">
        <v>3</v>
      </c>
      <c r="N174">
        <v>124.06155274999999</v>
      </c>
      <c r="O174">
        <v>2.7502534784483728</v>
      </c>
      <c r="P174" t="s">
        <v>3</v>
      </c>
      <c r="Q174">
        <v>3</v>
      </c>
      <c r="R174">
        <v>42.898879789473682</v>
      </c>
      <c r="S174">
        <v>0.95100206911233098</v>
      </c>
      <c r="U174" t="s">
        <v>3</v>
      </c>
      <c r="V174" t="s">
        <v>23</v>
      </c>
      <c r="W174">
        <v>238</v>
      </c>
      <c r="X174">
        <f t="shared" si="10"/>
        <v>0.7103452944611155</v>
      </c>
      <c r="Y174">
        <f t="shared" si="11"/>
        <v>0.78564059239453188</v>
      </c>
      <c r="Z174">
        <f t="shared" si="12"/>
        <v>0.95100206911233098</v>
      </c>
      <c r="AA174">
        <f t="shared" si="13"/>
        <v>0.74799294342782363</v>
      </c>
      <c r="AB174">
        <f t="shared" si="14"/>
        <v>0.86832133075343143</v>
      </c>
    </row>
    <row r="175" spans="1:28" x14ac:dyDescent="0.3">
      <c r="A175" s="1" t="s">
        <v>13</v>
      </c>
      <c r="B175" s="1" t="s">
        <v>21</v>
      </c>
      <c r="C175" s="1">
        <v>44434</v>
      </c>
      <c r="D175">
        <v>238</v>
      </c>
      <c r="E175" t="s">
        <v>0</v>
      </c>
      <c r="F175">
        <v>1</v>
      </c>
      <c r="G175">
        <v>481.88348999999994</v>
      </c>
      <c r="H175" t="s">
        <v>1</v>
      </c>
      <c r="I175">
        <v>1</v>
      </c>
      <c r="J175">
        <v>313.751474074074</v>
      </c>
      <c r="K175">
        <v>0.65109405195449643</v>
      </c>
      <c r="L175" t="s">
        <v>2</v>
      </c>
      <c r="M175">
        <v>1</v>
      </c>
      <c r="N175">
        <v>271.93666708333336</v>
      </c>
      <c r="O175">
        <v>0.56432036524707119</v>
      </c>
      <c r="P175" t="s">
        <v>3</v>
      </c>
      <c r="Q175">
        <v>1</v>
      </c>
      <c r="R175">
        <v>342.30366959999998</v>
      </c>
      <c r="S175">
        <v>0.7103452944611155</v>
      </c>
      <c r="U175" t="s">
        <v>3</v>
      </c>
      <c r="V175" t="s">
        <v>21</v>
      </c>
      <c r="W175">
        <v>238</v>
      </c>
      <c r="X175">
        <f t="shared" si="10"/>
        <v>0.7103452944611155</v>
      </c>
      <c r="Y175">
        <f t="shared" si="11"/>
        <v>0.78564059239453188</v>
      </c>
      <c r="Z175">
        <f t="shared" si="12"/>
        <v>0.88868479624687735</v>
      </c>
      <c r="AA175">
        <f t="shared" si="13"/>
        <v>0.74799294342782363</v>
      </c>
      <c r="AB175">
        <f t="shared" si="14"/>
        <v>0.83716269432070467</v>
      </c>
    </row>
    <row r="176" spans="1:28" x14ac:dyDescent="0.3">
      <c r="A176" s="1" t="s">
        <v>13</v>
      </c>
      <c r="B176" s="1" t="s">
        <v>21</v>
      </c>
      <c r="C176" s="1">
        <v>44434</v>
      </c>
      <c r="D176">
        <v>238</v>
      </c>
      <c r="E176" t="s">
        <v>0</v>
      </c>
      <c r="F176">
        <v>2</v>
      </c>
      <c r="G176">
        <v>480.11385192307682</v>
      </c>
      <c r="H176" t="s">
        <v>1</v>
      </c>
      <c r="I176">
        <v>2</v>
      </c>
      <c r="J176">
        <v>280.41724339622641</v>
      </c>
      <c r="K176">
        <v>0.58406405537567052</v>
      </c>
      <c r="L176" t="s">
        <v>2</v>
      </c>
      <c r="M176">
        <v>2</v>
      </c>
      <c r="N176">
        <v>252.48632599999996</v>
      </c>
      <c r="O176">
        <v>0.52588844289469272</v>
      </c>
      <c r="P176" t="s">
        <v>3</v>
      </c>
      <c r="Q176">
        <v>2</v>
      </c>
      <c r="R176">
        <v>377.19693104166663</v>
      </c>
      <c r="S176">
        <v>0.78564059239453188</v>
      </c>
      <c r="U176" t="s">
        <v>3</v>
      </c>
      <c r="V176" t="s">
        <v>21</v>
      </c>
      <c r="W176">
        <v>238</v>
      </c>
      <c r="X176">
        <f t="shared" si="10"/>
        <v>0.78564059239453188</v>
      </c>
      <c r="Y176">
        <f t="shared" si="11"/>
        <v>0.88868479624687735</v>
      </c>
      <c r="Z176">
        <f t="shared" si="12"/>
        <v>0.97181544377589635</v>
      </c>
      <c r="AA176">
        <f t="shared" si="13"/>
        <v>0.83716269432070467</v>
      </c>
      <c r="AB176">
        <f t="shared" si="14"/>
        <v>0.93025012001138685</v>
      </c>
    </row>
    <row r="177" spans="1:28" x14ac:dyDescent="0.3">
      <c r="A177" s="1" t="s">
        <v>13</v>
      </c>
      <c r="B177" s="1" t="s">
        <v>21</v>
      </c>
      <c r="C177" s="1">
        <v>44434</v>
      </c>
      <c r="D177">
        <v>238</v>
      </c>
      <c r="E177" t="s">
        <v>0</v>
      </c>
      <c r="F177">
        <v>3</v>
      </c>
      <c r="G177">
        <v>523.45002962962963</v>
      </c>
      <c r="H177" t="s">
        <v>1</v>
      </c>
      <c r="I177">
        <v>3</v>
      </c>
      <c r="J177">
        <v>286.71255106382978</v>
      </c>
      <c r="K177">
        <v>0.54773624001262367</v>
      </c>
      <c r="L177" t="s">
        <v>2</v>
      </c>
      <c r="M177">
        <v>3</v>
      </c>
      <c r="N177">
        <v>217.49092041666663</v>
      </c>
      <c r="O177">
        <v>0.41549509619963859</v>
      </c>
      <c r="P177" t="s">
        <v>3</v>
      </c>
      <c r="Q177">
        <v>3</v>
      </c>
      <c r="R177">
        <v>465.18208292682931</v>
      </c>
      <c r="S177">
        <v>0.88868479624687735</v>
      </c>
      <c r="U177" t="s">
        <v>3</v>
      </c>
      <c r="V177" t="s">
        <v>21</v>
      </c>
      <c r="W177">
        <v>238</v>
      </c>
      <c r="X177">
        <f t="shared" si="10"/>
        <v>0.88868479624687735</v>
      </c>
      <c r="Y177">
        <f t="shared" si="11"/>
        <v>0.97181544377589635</v>
      </c>
      <c r="Z177">
        <f t="shared" si="12"/>
        <v>1.1020356765531825</v>
      </c>
      <c r="AA177">
        <f t="shared" si="13"/>
        <v>0.93025012001138685</v>
      </c>
      <c r="AB177">
        <f t="shared" si="14"/>
        <v>1.0369255601645393</v>
      </c>
    </row>
    <row r="178" spans="1:28" x14ac:dyDescent="0.3">
      <c r="A178" s="1" t="s">
        <v>14</v>
      </c>
      <c r="B178" s="1" t="s">
        <v>24</v>
      </c>
      <c r="C178" s="1">
        <v>44434</v>
      </c>
      <c r="D178">
        <v>238</v>
      </c>
      <c r="E178" t="s">
        <v>0</v>
      </c>
      <c r="F178">
        <v>1</v>
      </c>
      <c r="G178">
        <v>27.510034000000001</v>
      </c>
      <c r="H178" t="s">
        <v>1</v>
      </c>
      <c r="I178">
        <v>1</v>
      </c>
      <c r="J178">
        <v>17.718405853658535</v>
      </c>
      <c r="K178">
        <v>0.64407066358618581</v>
      </c>
      <c r="L178" t="s">
        <v>2</v>
      </c>
      <c r="M178">
        <v>1</v>
      </c>
      <c r="N178">
        <v>20.799007619047622</v>
      </c>
      <c r="O178">
        <v>0.75605168714250304</v>
      </c>
      <c r="P178" t="s">
        <v>3</v>
      </c>
      <c r="Q178">
        <v>1</v>
      </c>
      <c r="R178">
        <v>26.734675899999999</v>
      </c>
      <c r="S178">
        <v>0.97181544377589635</v>
      </c>
      <c r="U178" t="s">
        <v>3</v>
      </c>
      <c r="V178" t="s">
        <v>24</v>
      </c>
      <c r="W178">
        <v>238</v>
      </c>
      <c r="X178">
        <f t="shared" si="10"/>
        <v>0.97181544377589635</v>
      </c>
      <c r="Y178">
        <f t="shared" si="11"/>
        <v>0.99709300347214003</v>
      </c>
      <c r="Z178">
        <f t="shared" si="12"/>
        <v>1.1020356765531825</v>
      </c>
      <c r="AA178">
        <f t="shared" si="13"/>
        <v>0.98445422362401813</v>
      </c>
      <c r="AB178">
        <f t="shared" si="14"/>
        <v>1.0495643400126613</v>
      </c>
    </row>
    <row r="179" spans="1:28" x14ac:dyDescent="0.3">
      <c r="A179" s="1" t="s">
        <v>14</v>
      </c>
      <c r="B179" s="1" t="s">
        <v>24</v>
      </c>
      <c r="C179" s="1">
        <v>44434</v>
      </c>
      <c r="D179">
        <v>238</v>
      </c>
      <c r="E179" t="s">
        <v>0</v>
      </c>
      <c r="F179">
        <v>2</v>
      </c>
      <c r="G179">
        <v>24.924503883495149</v>
      </c>
      <c r="H179" t="s">
        <v>1</v>
      </c>
      <c r="I179">
        <v>2</v>
      </c>
      <c r="J179">
        <v>19.492273023255816</v>
      </c>
      <c r="K179">
        <v>0.78205259829317919</v>
      </c>
      <c r="L179" t="s">
        <v>2</v>
      </c>
      <c r="M179">
        <v>2</v>
      </c>
      <c r="N179">
        <v>20.681286</v>
      </c>
      <c r="O179">
        <v>0.8297571777825844</v>
      </c>
      <c r="P179" t="s">
        <v>3</v>
      </c>
      <c r="Q179">
        <v>2</v>
      </c>
      <c r="R179">
        <v>27.467692500000002</v>
      </c>
      <c r="S179">
        <v>1.1020356765531825</v>
      </c>
      <c r="U179" t="s">
        <v>3</v>
      </c>
      <c r="V179" t="s">
        <v>24</v>
      </c>
      <c r="W179">
        <v>238</v>
      </c>
      <c r="X179">
        <f t="shared" si="10"/>
        <v>0.99709300347214003</v>
      </c>
      <c r="Y179">
        <f t="shared" si="11"/>
        <v>1.1020356765531825</v>
      </c>
      <c r="Z179">
        <f t="shared" si="12"/>
        <v>2.7725762352163654</v>
      </c>
      <c r="AA179">
        <f t="shared" si="13"/>
        <v>1.0495643400126613</v>
      </c>
      <c r="AB179">
        <f t="shared" si="14"/>
        <v>1.9373059558847738</v>
      </c>
    </row>
    <row r="180" spans="1:28" x14ac:dyDescent="0.3">
      <c r="A180" s="1" t="s">
        <v>14</v>
      </c>
      <c r="B180" s="1" t="s">
        <v>24</v>
      </c>
      <c r="C180" s="1">
        <v>44434</v>
      </c>
      <c r="D180">
        <v>238</v>
      </c>
      <c r="E180" t="s">
        <v>0</v>
      </c>
      <c r="F180">
        <v>3</v>
      </c>
      <c r="G180">
        <v>24.966130454545453</v>
      </c>
      <c r="H180" t="s">
        <v>1</v>
      </c>
      <c r="I180">
        <v>3</v>
      </c>
      <c r="J180">
        <v>19.082782000000002</v>
      </c>
      <c r="K180">
        <v>0.76434680315169545</v>
      </c>
      <c r="L180" t="s">
        <v>2</v>
      </c>
      <c r="M180">
        <v>3</v>
      </c>
      <c r="N180">
        <v>15.175788499999999</v>
      </c>
      <c r="O180">
        <v>0.60785505097114567</v>
      </c>
      <c r="P180" t="s">
        <v>3</v>
      </c>
      <c r="Q180">
        <v>3</v>
      </c>
      <c r="R180">
        <v>24.893553999999991</v>
      </c>
      <c r="S180">
        <v>0.99709300347214003</v>
      </c>
      <c r="U180" t="s">
        <v>3</v>
      </c>
      <c r="V180" t="s">
        <v>24</v>
      </c>
      <c r="W180">
        <v>238</v>
      </c>
      <c r="X180">
        <f t="shared" si="10"/>
        <v>0.99709300347214003</v>
      </c>
      <c r="Y180">
        <f t="shared" si="11"/>
        <v>2.7725762352163654</v>
      </c>
      <c r="Z180">
        <f t="shared" si="12"/>
        <v>2.8623780392483638</v>
      </c>
      <c r="AA180">
        <f t="shared" si="13"/>
        <v>1.8848346193442529</v>
      </c>
      <c r="AB180">
        <f t="shared" si="14"/>
        <v>2.8174771372323644</v>
      </c>
    </row>
    <row r="181" spans="1:28" x14ac:dyDescent="0.3">
      <c r="A181" s="1" t="s">
        <v>13</v>
      </c>
      <c r="B181" s="1" t="s">
        <v>19</v>
      </c>
      <c r="C181" s="1">
        <v>44441</v>
      </c>
      <c r="D181">
        <v>245</v>
      </c>
      <c r="E181" t="s">
        <v>0</v>
      </c>
      <c r="F181">
        <v>1</v>
      </c>
      <c r="G181">
        <v>37.83512249999999</v>
      </c>
      <c r="H181" t="s">
        <v>1</v>
      </c>
      <c r="I181">
        <v>1</v>
      </c>
      <c r="J181">
        <v>22.116023936842105</v>
      </c>
      <c r="K181">
        <v>0.58453686615768485</v>
      </c>
      <c r="L181" t="s">
        <v>2</v>
      </c>
      <c r="M181">
        <v>1</v>
      </c>
      <c r="N181">
        <v>34.677048499999998</v>
      </c>
      <c r="O181">
        <v>0.91653062574331579</v>
      </c>
      <c r="P181" t="s">
        <v>3</v>
      </c>
      <c r="Q181">
        <v>1</v>
      </c>
      <c r="R181">
        <v>104.90076149999997</v>
      </c>
      <c r="S181">
        <v>2.7725762352163654</v>
      </c>
      <c r="U181" t="s">
        <v>3</v>
      </c>
      <c r="V181" t="s">
        <v>19</v>
      </c>
      <c r="W181">
        <v>238</v>
      </c>
      <c r="X181">
        <f t="shared" si="10"/>
        <v>2.700932875861489</v>
      </c>
      <c r="Y181">
        <f t="shared" si="11"/>
        <v>2.7725762352163654</v>
      </c>
      <c r="Z181">
        <f t="shared" si="12"/>
        <v>2.8623780392483638</v>
      </c>
      <c r="AA181">
        <f t="shared" si="13"/>
        <v>2.7367545555389272</v>
      </c>
      <c r="AB181">
        <f t="shared" si="14"/>
        <v>2.8174771372323644</v>
      </c>
    </row>
    <row r="182" spans="1:28" x14ac:dyDescent="0.3">
      <c r="A182" s="1" t="s">
        <v>13</v>
      </c>
      <c r="B182" s="1" t="s">
        <v>19</v>
      </c>
      <c r="C182" s="1">
        <v>44441</v>
      </c>
      <c r="D182">
        <v>245</v>
      </c>
      <c r="E182" t="s">
        <v>0</v>
      </c>
      <c r="F182">
        <v>2</v>
      </c>
      <c r="G182">
        <v>35.844614285714286</v>
      </c>
      <c r="H182" t="s">
        <v>1</v>
      </c>
      <c r="I182">
        <v>2</v>
      </c>
      <c r="J182">
        <v>28.23778102564102</v>
      </c>
      <c r="K182">
        <v>0.78778309066349927</v>
      </c>
      <c r="L182" t="s">
        <v>2</v>
      </c>
      <c r="M182">
        <v>2</v>
      </c>
      <c r="N182">
        <v>37.266169523809523</v>
      </c>
      <c r="O182">
        <v>1.039658823687267</v>
      </c>
      <c r="P182" t="s">
        <v>3</v>
      </c>
      <c r="Q182">
        <v>2</v>
      </c>
      <c r="R182">
        <v>102.60083675675675</v>
      </c>
      <c r="S182">
        <v>2.8623780392483638</v>
      </c>
      <c r="U182" t="s">
        <v>3</v>
      </c>
      <c r="V182" t="s">
        <v>19</v>
      </c>
      <c r="W182">
        <v>245</v>
      </c>
      <c r="X182">
        <f t="shared" si="10"/>
        <v>0.68813398100568524</v>
      </c>
      <c r="Y182">
        <f t="shared" si="11"/>
        <v>2.700932875861489</v>
      </c>
      <c r="Z182">
        <f t="shared" si="12"/>
        <v>2.8623780392483638</v>
      </c>
      <c r="AA182">
        <f t="shared" si="13"/>
        <v>1.6945334284335871</v>
      </c>
      <c r="AB182">
        <f t="shared" si="14"/>
        <v>2.7816554575549262</v>
      </c>
    </row>
    <row r="183" spans="1:28" x14ac:dyDescent="0.3">
      <c r="A183" s="1" t="s">
        <v>13</v>
      </c>
      <c r="B183" s="1" t="s">
        <v>19</v>
      </c>
      <c r="C183" s="1">
        <v>44441</v>
      </c>
      <c r="D183">
        <v>245</v>
      </c>
      <c r="E183" t="s">
        <v>0</v>
      </c>
      <c r="F183">
        <v>3</v>
      </c>
      <c r="G183">
        <v>35.219401729729725</v>
      </c>
      <c r="H183" t="s">
        <v>1</v>
      </c>
      <c r="I183">
        <v>3</v>
      </c>
      <c r="J183">
        <v>27.761666824644557</v>
      </c>
      <c r="K183">
        <v>0.78824924505205674</v>
      </c>
      <c r="L183" t="s">
        <v>2</v>
      </c>
      <c r="M183">
        <v>3</v>
      </c>
      <c r="N183">
        <v>31.836787824074072</v>
      </c>
      <c r="O183">
        <v>0.90395595213077429</v>
      </c>
      <c r="P183" t="s">
        <v>3</v>
      </c>
      <c r="Q183">
        <v>3</v>
      </c>
      <c r="R183">
        <v>95.125240000000005</v>
      </c>
      <c r="S183">
        <v>2.700932875861489</v>
      </c>
      <c r="U183" t="s">
        <v>3</v>
      </c>
      <c r="V183" t="s">
        <v>19</v>
      </c>
      <c r="W183">
        <v>245</v>
      </c>
      <c r="X183">
        <f t="shared" si="10"/>
        <v>0.68813398100568524</v>
      </c>
      <c r="Y183">
        <f t="shared" si="11"/>
        <v>0.80892502873078709</v>
      </c>
      <c r="Z183">
        <f t="shared" si="12"/>
        <v>2.700932875861489</v>
      </c>
      <c r="AA183">
        <f t="shared" si="13"/>
        <v>0.74852950486823611</v>
      </c>
      <c r="AB183">
        <f t="shared" si="14"/>
        <v>1.754928952296138</v>
      </c>
    </row>
    <row r="184" spans="1:28" x14ac:dyDescent="0.3">
      <c r="A184" s="1" t="s">
        <v>14</v>
      </c>
      <c r="B184" s="1" t="s">
        <v>22</v>
      </c>
      <c r="C184" s="1">
        <v>44441</v>
      </c>
      <c r="D184">
        <v>245</v>
      </c>
      <c r="E184" t="s">
        <v>0</v>
      </c>
      <c r="F184">
        <v>1</v>
      </c>
      <c r="G184">
        <v>10.193633157894736</v>
      </c>
      <c r="H184" t="s">
        <v>1</v>
      </c>
      <c r="I184">
        <v>2</v>
      </c>
      <c r="J184">
        <v>7.805146341463411</v>
      </c>
      <c r="K184">
        <v>0.76568836847130439</v>
      </c>
      <c r="L184" t="s">
        <v>2</v>
      </c>
      <c r="M184">
        <v>1</v>
      </c>
      <c r="N184">
        <v>5.9046009756097577</v>
      </c>
      <c r="O184">
        <v>0.57924401282155025</v>
      </c>
      <c r="P184" t="s">
        <v>3</v>
      </c>
      <c r="Q184">
        <v>1</v>
      </c>
      <c r="R184">
        <v>7.0145853658536597</v>
      </c>
      <c r="S184">
        <v>0.68813398100568524</v>
      </c>
      <c r="U184" t="s">
        <v>3</v>
      </c>
      <c r="V184" t="s">
        <v>22</v>
      </c>
      <c r="W184">
        <v>245</v>
      </c>
      <c r="X184">
        <f t="shared" si="10"/>
        <v>0.28062947148286443</v>
      </c>
      <c r="Y184">
        <f t="shared" si="11"/>
        <v>0.68813398100568524</v>
      </c>
      <c r="Z184">
        <f t="shared" si="12"/>
        <v>0.80892502873078709</v>
      </c>
      <c r="AA184">
        <f t="shared" si="13"/>
        <v>0.48438172624427484</v>
      </c>
      <c r="AB184">
        <f t="shared" si="14"/>
        <v>0.74852950486823611</v>
      </c>
    </row>
    <row r="185" spans="1:28" x14ac:dyDescent="0.3">
      <c r="A185" s="1" t="s">
        <v>14</v>
      </c>
      <c r="B185" s="1" t="s">
        <v>22</v>
      </c>
      <c r="C185" s="1">
        <v>44441</v>
      </c>
      <c r="D185">
        <v>245</v>
      </c>
      <c r="E185" t="s">
        <v>0</v>
      </c>
      <c r="F185">
        <v>2</v>
      </c>
      <c r="G185">
        <v>9.2706851709844553</v>
      </c>
      <c r="H185" t="s">
        <v>1</v>
      </c>
      <c r="I185">
        <v>2</v>
      </c>
      <c r="J185">
        <v>3.1470663917525772</v>
      </c>
      <c r="K185">
        <v>0.33946427191836026</v>
      </c>
      <c r="L185" t="s">
        <v>2</v>
      </c>
      <c r="M185">
        <v>2</v>
      </c>
      <c r="N185">
        <v>5.9969316326530606</v>
      </c>
      <c r="O185">
        <v>0.64687037927060198</v>
      </c>
      <c r="P185" t="s">
        <v>3</v>
      </c>
      <c r="Q185">
        <v>2</v>
      </c>
      <c r="R185">
        <v>7.4992892682926824</v>
      </c>
      <c r="S185">
        <v>0.80892502873078709</v>
      </c>
      <c r="U185" t="s">
        <v>3</v>
      </c>
      <c r="V185" t="s">
        <v>22</v>
      </c>
      <c r="W185">
        <v>245</v>
      </c>
      <c r="X185">
        <f t="shared" si="10"/>
        <v>0.28062947148286443</v>
      </c>
      <c r="Y185">
        <f t="shared" si="11"/>
        <v>0.80892502873078709</v>
      </c>
      <c r="Z185">
        <f t="shared" si="12"/>
        <v>1.477894711397856</v>
      </c>
      <c r="AA185">
        <f t="shared" si="13"/>
        <v>0.54477725010682576</v>
      </c>
      <c r="AB185">
        <f t="shared" si="14"/>
        <v>1.1434098700643216</v>
      </c>
    </row>
    <row r="186" spans="1:28" x14ac:dyDescent="0.3">
      <c r="A186" s="1" t="s">
        <v>14</v>
      </c>
      <c r="B186" s="1" t="s">
        <v>22</v>
      </c>
      <c r="C186" s="1">
        <v>44441</v>
      </c>
      <c r="D186">
        <v>245</v>
      </c>
      <c r="E186" t="s">
        <v>0</v>
      </c>
      <c r="F186">
        <v>3</v>
      </c>
      <c r="G186">
        <v>9.8503639849999978</v>
      </c>
      <c r="H186" t="s">
        <v>1</v>
      </c>
      <c r="I186">
        <v>3</v>
      </c>
      <c r="J186">
        <v>6.5588342995169082</v>
      </c>
      <c r="K186">
        <v>0.66584689758719706</v>
      </c>
      <c r="L186" t="s">
        <v>2</v>
      </c>
      <c r="M186">
        <v>3</v>
      </c>
      <c r="N186">
        <v>4.1880166666666661</v>
      </c>
      <c r="O186">
        <v>0.42516364603827045</v>
      </c>
      <c r="P186" t="s">
        <v>3</v>
      </c>
      <c r="Q186">
        <v>3</v>
      </c>
      <c r="R186">
        <v>2.7643024390243918</v>
      </c>
      <c r="S186">
        <v>0.28062947148286443</v>
      </c>
      <c r="U186" t="s">
        <v>3</v>
      </c>
      <c r="V186" t="s">
        <v>22</v>
      </c>
      <c r="W186">
        <v>245</v>
      </c>
      <c r="X186">
        <f t="shared" si="10"/>
        <v>0.28062947148286443</v>
      </c>
      <c r="Y186">
        <f t="shared" si="11"/>
        <v>1.477894711397856</v>
      </c>
      <c r="Z186">
        <f t="shared" si="12"/>
        <v>1.5678048484108993</v>
      </c>
      <c r="AA186">
        <f t="shared" si="13"/>
        <v>0.87926209144036027</v>
      </c>
      <c r="AB186">
        <f t="shared" si="14"/>
        <v>1.5228497799043776</v>
      </c>
    </row>
    <row r="187" spans="1:28" x14ac:dyDescent="0.3">
      <c r="A187" s="1" t="s">
        <v>13</v>
      </c>
      <c r="B187" s="1" t="s">
        <v>20</v>
      </c>
      <c r="C187" s="1">
        <v>44441</v>
      </c>
      <c r="D187">
        <v>245</v>
      </c>
      <c r="E187" t="s">
        <v>0</v>
      </c>
      <c r="F187">
        <v>1</v>
      </c>
      <c r="G187">
        <v>89.494540816326548</v>
      </c>
      <c r="H187" t="s">
        <v>1</v>
      </c>
      <c r="I187">
        <v>1</v>
      </c>
      <c r="J187">
        <v>132.26651733333335</v>
      </c>
      <c r="K187">
        <v>1.4779283308999769</v>
      </c>
      <c r="L187" t="s">
        <v>2</v>
      </c>
      <c r="M187">
        <v>1</v>
      </c>
      <c r="N187">
        <v>70.255246666666665</v>
      </c>
      <c r="O187">
        <v>0.78502270670179197</v>
      </c>
      <c r="P187" t="s">
        <v>3</v>
      </c>
      <c r="Q187">
        <v>1</v>
      </c>
      <c r="R187">
        <v>132.26350857142856</v>
      </c>
      <c r="S187">
        <v>1.477894711397856</v>
      </c>
      <c r="U187" t="s">
        <v>3</v>
      </c>
      <c r="V187" t="s">
        <v>20</v>
      </c>
      <c r="W187">
        <v>245</v>
      </c>
      <c r="X187">
        <f t="shared" si="10"/>
        <v>1.477894711397856</v>
      </c>
      <c r="Y187">
        <f t="shared" si="11"/>
        <v>1.5678048484108993</v>
      </c>
      <c r="Z187">
        <f t="shared" si="12"/>
        <v>2.1090324444525539</v>
      </c>
      <c r="AA187">
        <f t="shared" si="13"/>
        <v>1.5228497799043776</v>
      </c>
      <c r="AB187">
        <f t="shared" si="14"/>
        <v>1.8384186464317267</v>
      </c>
    </row>
    <row r="188" spans="1:28" x14ac:dyDescent="0.3">
      <c r="A188" s="1" t="s">
        <v>13</v>
      </c>
      <c r="B188" s="1" t="s">
        <v>20</v>
      </c>
      <c r="C188" s="1">
        <v>44441</v>
      </c>
      <c r="D188">
        <v>245</v>
      </c>
      <c r="E188" t="s">
        <v>0</v>
      </c>
      <c r="F188">
        <v>2</v>
      </c>
      <c r="G188">
        <v>80.966579245283015</v>
      </c>
      <c r="H188" t="s">
        <v>1</v>
      </c>
      <c r="I188">
        <v>2</v>
      </c>
      <c r="J188">
        <v>129.31906982456138</v>
      </c>
      <c r="K188">
        <v>1.5971907301751951</v>
      </c>
      <c r="L188" t="s">
        <v>2</v>
      </c>
      <c r="M188">
        <v>2</v>
      </c>
      <c r="N188">
        <v>200.99317421874994</v>
      </c>
      <c r="O188">
        <v>2.4824214644150167</v>
      </c>
      <c r="P188" t="s">
        <v>3</v>
      </c>
      <c r="Q188">
        <v>2</v>
      </c>
      <c r="R188">
        <v>126.9397955</v>
      </c>
      <c r="S188">
        <v>1.5678048484108993</v>
      </c>
      <c r="U188" t="s">
        <v>3</v>
      </c>
      <c r="V188" t="s">
        <v>20</v>
      </c>
      <c r="W188">
        <v>245</v>
      </c>
      <c r="X188">
        <f t="shared" si="10"/>
        <v>1.5678048484108993</v>
      </c>
      <c r="Y188">
        <f t="shared" si="11"/>
        <v>2.1090324444525539</v>
      </c>
      <c r="Z188">
        <f t="shared" si="12"/>
        <v>4.6488446394004779</v>
      </c>
      <c r="AA188">
        <f t="shared" si="13"/>
        <v>1.8384186464317267</v>
      </c>
      <c r="AB188">
        <f t="shared" si="14"/>
        <v>3.3789385419265159</v>
      </c>
    </row>
    <row r="189" spans="1:28" x14ac:dyDescent="0.3">
      <c r="A189" s="1" t="s">
        <v>13</v>
      </c>
      <c r="B189" s="1" t="s">
        <v>20</v>
      </c>
      <c r="C189" s="1">
        <v>44441</v>
      </c>
      <c r="D189">
        <v>245</v>
      </c>
      <c r="E189" t="s">
        <v>0</v>
      </c>
      <c r="F189">
        <v>3</v>
      </c>
      <c r="G189">
        <v>67.97011999999998</v>
      </c>
      <c r="H189" t="s">
        <v>1</v>
      </c>
      <c r="I189">
        <v>3</v>
      </c>
      <c r="J189">
        <v>135.56140763636364</v>
      </c>
      <c r="K189">
        <v>1.99442648676159</v>
      </c>
      <c r="L189" t="s">
        <v>2</v>
      </c>
      <c r="M189">
        <v>3</v>
      </c>
      <c r="N189">
        <v>0.30240883333333335</v>
      </c>
      <c r="O189">
        <v>4.4491437315887254E-3</v>
      </c>
      <c r="P189" t="s">
        <v>3</v>
      </c>
      <c r="Q189">
        <v>3</v>
      </c>
      <c r="R189">
        <v>143.35118833333337</v>
      </c>
      <c r="S189">
        <v>2.1090324444525539</v>
      </c>
      <c r="U189" t="s">
        <v>3</v>
      </c>
      <c r="V189" t="s">
        <v>20</v>
      </c>
      <c r="W189">
        <v>245</v>
      </c>
      <c r="X189">
        <f t="shared" si="10"/>
        <v>2.1090324444525539</v>
      </c>
      <c r="Y189">
        <f t="shared" si="11"/>
        <v>2.3598402610677214</v>
      </c>
      <c r="Z189">
        <f t="shared" si="12"/>
        <v>4.6488446394004779</v>
      </c>
      <c r="AA189">
        <f t="shared" si="13"/>
        <v>2.2344363527601376</v>
      </c>
      <c r="AB189">
        <f t="shared" si="14"/>
        <v>3.5043424502340996</v>
      </c>
    </row>
    <row r="190" spans="1:28" x14ac:dyDescent="0.3">
      <c r="A190" s="1" t="s">
        <v>14</v>
      </c>
      <c r="B190" s="1" t="s">
        <v>23</v>
      </c>
      <c r="C190" s="1">
        <v>44441</v>
      </c>
      <c r="D190">
        <v>245</v>
      </c>
      <c r="E190" t="s">
        <v>0</v>
      </c>
      <c r="F190">
        <v>1</v>
      </c>
      <c r="G190">
        <v>6.1689122727272725</v>
      </c>
      <c r="H190" t="s">
        <v>1</v>
      </c>
      <c r="I190">
        <v>1</v>
      </c>
      <c r="J190">
        <v>7.2033430000000003</v>
      </c>
      <c r="K190">
        <v>1.1676844606537753</v>
      </c>
      <c r="L190" t="s">
        <v>2</v>
      </c>
      <c r="M190">
        <v>1</v>
      </c>
      <c r="N190">
        <v>9.0319876190476212</v>
      </c>
      <c r="O190">
        <v>1.4641134805852223</v>
      </c>
      <c r="P190" t="s">
        <v>3</v>
      </c>
      <c r="Q190">
        <v>1</v>
      </c>
      <c r="R190">
        <v>28.678314749999998</v>
      </c>
      <c r="S190">
        <v>4.6488446394004779</v>
      </c>
      <c r="U190" t="s">
        <v>3</v>
      </c>
      <c r="V190" t="s">
        <v>23</v>
      </c>
      <c r="W190">
        <v>245</v>
      </c>
      <c r="X190">
        <f t="shared" si="10"/>
        <v>0.90879563382751571</v>
      </c>
      <c r="Y190">
        <f t="shared" si="11"/>
        <v>2.3598402610677214</v>
      </c>
      <c r="Z190">
        <f t="shared" si="12"/>
        <v>4.6488446394004779</v>
      </c>
      <c r="AA190">
        <f t="shared" si="13"/>
        <v>1.6343179474476184</v>
      </c>
      <c r="AB190">
        <f t="shared" si="14"/>
        <v>3.5043424502340996</v>
      </c>
    </row>
    <row r="191" spans="1:28" x14ac:dyDescent="0.3">
      <c r="A191" s="1" t="s">
        <v>14</v>
      </c>
      <c r="B191" s="1" t="s">
        <v>23</v>
      </c>
      <c r="C191" s="1">
        <v>44441</v>
      </c>
      <c r="D191">
        <v>245</v>
      </c>
      <c r="E191" t="s">
        <v>0</v>
      </c>
      <c r="F191">
        <v>2</v>
      </c>
      <c r="G191">
        <v>8.4094105128205126</v>
      </c>
      <c r="H191" t="s">
        <v>1</v>
      </c>
      <c r="I191">
        <v>2</v>
      </c>
      <c r="J191">
        <v>4.732954584999999</v>
      </c>
      <c r="K191">
        <v>0.56281645161505711</v>
      </c>
      <c r="L191" t="s">
        <v>2</v>
      </c>
      <c r="M191">
        <v>2</v>
      </c>
      <c r="N191">
        <v>9.0782209523809545</v>
      </c>
      <c r="O191">
        <v>1.0795311916977786</v>
      </c>
      <c r="P191" t="s">
        <v>3</v>
      </c>
      <c r="Q191">
        <v>2</v>
      </c>
      <c r="R191">
        <v>19.844865499999997</v>
      </c>
      <c r="S191">
        <v>2.3598402610677214</v>
      </c>
      <c r="U191" t="s">
        <v>3</v>
      </c>
      <c r="V191" t="s">
        <v>23</v>
      </c>
      <c r="W191">
        <v>245</v>
      </c>
      <c r="X191">
        <f t="shared" si="10"/>
        <v>0.78459991542587093</v>
      </c>
      <c r="Y191">
        <f t="shared" si="11"/>
        <v>0.90879563382751571</v>
      </c>
      <c r="Z191">
        <f t="shared" si="12"/>
        <v>2.3598402610677214</v>
      </c>
      <c r="AA191">
        <f t="shared" si="13"/>
        <v>0.84669777462669327</v>
      </c>
      <c r="AB191">
        <f t="shared" si="14"/>
        <v>1.6343179474476184</v>
      </c>
    </row>
    <row r="192" spans="1:28" x14ac:dyDescent="0.3">
      <c r="A192" s="1" t="s">
        <v>14</v>
      </c>
      <c r="B192" s="1" t="s">
        <v>23</v>
      </c>
      <c r="C192" s="1">
        <v>44441</v>
      </c>
      <c r="D192">
        <v>245</v>
      </c>
      <c r="E192" t="s">
        <v>0</v>
      </c>
      <c r="F192">
        <v>3</v>
      </c>
      <c r="G192">
        <v>11.268175999999999</v>
      </c>
      <c r="H192" t="s">
        <v>1</v>
      </c>
      <c r="I192">
        <v>3</v>
      </c>
      <c r="J192">
        <v>6.3660814285714293</v>
      </c>
      <c r="K192">
        <v>0.56496112845339208</v>
      </c>
      <c r="L192" t="s">
        <v>2</v>
      </c>
      <c r="M192">
        <v>3</v>
      </c>
      <c r="N192">
        <v>3.0492229999999996</v>
      </c>
      <c r="O192">
        <v>0.27060484323283557</v>
      </c>
      <c r="P192" t="s">
        <v>3</v>
      </c>
      <c r="Q192">
        <v>3</v>
      </c>
      <c r="R192">
        <v>10.240469149999999</v>
      </c>
      <c r="S192">
        <v>0.90879563382751571</v>
      </c>
      <c r="U192" t="s">
        <v>3</v>
      </c>
      <c r="V192" t="s">
        <v>23</v>
      </c>
      <c r="W192">
        <v>245</v>
      </c>
      <c r="X192">
        <f t="shared" si="10"/>
        <v>0.78459991542587093</v>
      </c>
      <c r="Y192">
        <f t="shared" si="11"/>
        <v>0.90879563382751571</v>
      </c>
      <c r="Z192">
        <f t="shared" si="12"/>
        <v>0.96261340376546811</v>
      </c>
      <c r="AA192">
        <f t="shared" si="13"/>
        <v>0.84669777462669327</v>
      </c>
      <c r="AB192">
        <f t="shared" si="14"/>
        <v>0.93570451879649186</v>
      </c>
    </row>
    <row r="193" spans="1:28" x14ac:dyDescent="0.3">
      <c r="A193" s="1" t="s">
        <v>13</v>
      </c>
      <c r="B193" s="1" t="s">
        <v>21</v>
      </c>
      <c r="C193" s="1">
        <v>44441</v>
      </c>
      <c r="D193">
        <v>245</v>
      </c>
      <c r="E193" t="s">
        <v>0</v>
      </c>
      <c r="F193">
        <v>1</v>
      </c>
      <c r="G193">
        <v>315.58417179487179</v>
      </c>
      <c r="H193" t="s">
        <v>1</v>
      </c>
      <c r="I193">
        <v>1</v>
      </c>
      <c r="J193">
        <v>225.37168736842096</v>
      </c>
      <c r="K193">
        <v>0.71414128942725141</v>
      </c>
      <c r="L193" t="s">
        <v>2</v>
      </c>
      <c r="M193">
        <v>1</v>
      </c>
      <c r="N193">
        <v>110.62240526315787</v>
      </c>
      <c r="O193">
        <v>0.35053217223790906</v>
      </c>
      <c r="P193" t="s">
        <v>3</v>
      </c>
      <c r="Q193">
        <v>1</v>
      </c>
      <c r="R193">
        <v>247.60731449999994</v>
      </c>
      <c r="S193">
        <v>0.78459991542587093</v>
      </c>
      <c r="U193" t="s">
        <v>3</v>
      </c>
      <c r="V193" t="s">
        <v>21</v>
      </c>
      <c r="W193">
        <v>245</v>
      </c>
      <c r="X193">
        <f t="shared" si="10"/>
        <v>0.74541658970089308</v>
      </c>
      <c r="Y193">
        <f t="shared" si="11"/>
        <v>0.78459991542587093</v>
      </c>
      <c r="Z193">
        <f t="shared" si="12"/>
        <v>0.96261340376546811</v>
      </c>
      <c r="AA193">
        <f t="shared" si="13"/>
        <v>0.76500825256338201</v>
      </c>
      <c r="AB193">
        <f t="shared" si="14"/>
        <v>0.87360665959566952</v>
      </c>
    </row>
    <row r="194" spans="1:28" x14ac:dyDescent="0.3">
      <c r="A194" s="1" t="s">
        <v>13</v>
      </c>
      <c r="B194" s="1" t="s">
        <v>21</v>
      </c>
      <c r="C194" s="1">
        <v>44441</v>
      </c>
      <c r="D194">
        <v>245</v>
      </c>
      <c r="E194" t="s">
        <v>0</v>
      </c>
      <c r="F194">
        <v>2</v>
      </c>
      <c r="G194">
        <v>287.43458684210526</v>
      </c>
      <c r="H194" t="s">
        <v>1</v>
      </c>
      <c r="I194">
        <v>2</v>
      </c>
      <c r="J194">
        <v>203.87485749999999</v>
      </c>
      <c r="K194">
        <v>0.70929131994819172</v>
      </c>
      <c r="L194" t="s">
        <v>2</v>
      </c>
      <c r="M194">
        <v>2</v>
      </c>
      <c r="N194">
        <v>241.06687449999995</v>
      </c>
      <c r="O194">
        <v>0.83868429735083971</v>
      </c>
      <c r="P194" t="s">
        <v>3</v>
      </c>
      <c r="Q194">
        <v>2</v>
      </c>
      <c r="R194">
        <v>276.68838599999998</v>
      </c>
      <c r="S194">
        <v>0.96261340376546811</v>
      </c>
      <c r="U194" t="s">
        <v>3</v>
      </c>
      <c r="V194" t="s">
        <v>21</v>
      </c>
      <c r="W194">
        <v>245</v>
      </c>
      <c r="X194">
        <f t="shared" si="10"/>
        <v>0.74541658970089308</v>
      </c>
      <c r="Y194">
        <f t="shared" si="11"/>
        <v>0.82677665834915937</v>
      </c>
      <c r="Z194">
        <f t="shared" si="12"/>
        <v>0.96261340376546811</v>
      </c>
      <c r="AA194">
        <f t="shared" si="13"/>
        <v>0.78609662402502622</v>
      </c>
      <c r="AB194">
        <f t="shared" si="14"/>
        <v>0.89469503105731374</v>
      </c>
    </row>
    <row r="195" spans="1:28" x14ac:dyDescent="0.3">
      <c r="A195" s="1" t="s">
        <v>13</v>
      </c>
      <c r="B195" s="1" t="s">
        <v>21</v>
      </c>
      <c r="C195" s="1">
        <v>44441</v>
      </c>
      <c r="D195">
        <v>245</v>
      </c>
      <c r="E195" t="s">
        <v>0</v>
      </c>
      <c r="F195">
        <v>3</v>
      </c>
      <c r="G195">
        <v>348.46373315789481</v>
      </c>
      <c r="H195" t="s">
        <v>1</v>
      </c>
      <c r="I195">
        <v>3</v>
      </c>
      <c r="J195">
        <v>270.5317</v>
      </c>
      <c r="K195">
        <v>0.77635539729874137</v>
      </c>
      <c r="L195" t="s">
        <v>2</v>
      </c>
      <c r="M195">
        <v>3</v>
      </c>
      <c r="N195">
        <v>224.32771484999995</v>
      </c>
      <c r="O195">
        <v>0.64376201453467552</v>
      </c>
      <c r="P195" t="s">
        <v>3</v>
      </c>
      <c r="Q195">
        <v>3</v>
      </c>
      <c r="R195">
        <v>259.75064760499998</v>
      </c>
      <c r="S195">
        <v>0.74541658970089308</v>
      </c>
      <c r="U195" t="s">
        <v>3</v>
      </c>
      <c r="V195" t="s">
        <v>21</v>
      </c>
      <c r="W195">
        <v>245</v>
      </c>
      <c r="X195">
        <f t="shared" ref="X195:X198" si="15">MIN(S195:S197)</f>
        <v>0.57520573918359541</v>
      </c>
      <c r="Y195">
        <f t="shared" ref="Y195:Y198" si="16">MEDIAN(S195:S197)</f>
        <v>0.74541658970089308</v>
      </c>
      <c r="Z195">
        <f t="shared" ref="Z195:Z198" si="17">MAX(S195:S197)</f>
        <v>0.82677665834915937</v>
      </c>
      <c r="AA195">
        <f t="shared" ref="AA195:AA198" si="18">_xlfn.PERCENTILE.INC(S195:S197,0.25)</f>
        <v>0.66031116444224425</v>
      </c>
      <c r="AB195">
        <f t="shared" ref="AB195:AB198" si="19">_xlfn.PERCENTILE.INC(S195:S197,0.75)</f>
        <v>0.78609662402502622</v>
      </c>
    </row>
    <row r="196" spans="1:28" x14ac:dyDescent="0.3">
      <c r="A196" s="1" t="s">
        <v>14</v>
      </c>
      <c r="B196" s="1" t="s">
        <v>24</v>
      </c>
      <c r="C196" s="1">
        <v>44441</v>
      </c>
      <c r="D196">
        <v>245</v>
      </c>
      <c r="E196" t="s">
        <v>0</v>
      </c>
      <c r="F196">
        <v>1</v>
      </c>
      <c r="G196">
        <v>9.6985299999999928</v>
      </c>
      <c r="H196" t="s">
        <v>1</v>
      </c>
      <c r="I196">
        <v>1</v>
      </c>
      <c r="J196">
        <v>12.546743127962088</v>
      </c>
      <c r="K196">
        <v>1.2936747247224165</v>
      </c>
      <c r="L196" t="s">
        <v>2</v>
      </c>
      <c r="M196">
        <v>3</v>
      </c>
      <c r="N196">
        <v>15.306598130841126</v>
      </c>
      <c r="O196">
        <v>1.5782389837265169</v>
      </c>
      <c r="P196" t="s">
        <v>3</v>
      </c>
      <c r="Q196">
        <v>1</v>
      </c>
      <c r="R196">
        <v>8.0185182242990667</v>
      </c>
      <c r="S196">
        <v>0.82677665834915937</v>
      </c>
      <c r="U196" t="s">
        <v>3</v>
      </c>
      <c r="V196" t="s">
        <v>24</v>
      </c>
      <c r="W196">
        <v>245</v>
      </c>
      <c r="X196">
        <f t="shared" si="15"/>
        <v>0.57520573918359541</v>
      </c>
      <c r="Y196">
        <f t="shared" si="16"/>
        <v>0.82677665834915937</v>
      </c>
      <c r="Z196">
        <f t="shared" si="17"/>
        <v>1.5369547233459495</v>
      </c>
      <c r="AA196">
        <f t="shared" si="18"/>
        <v>0.70099119876637739</v>
      </c>
      <c r="AB196">
        <f t="shared" si="19"/>
        <v>1.1818656908475544</v>
      </c>
    </row>
    <row r="197" spans="1:28" x14ac:dyDescent="0.3">
      <c r="A197" s="1" t="s">
        <v>14</v>
      </c>
      <c r="B197" s="1" t="s">
        <v>24</v>
      </c>
      <c r="C197" s="1">
        <v>44441</v>
      </c>
      <c r="D197">
        <v>245</v>
      </c>
      <c r="E197" t="s">
        <v>0</v>
      </c>
      <c r="F197">
        <v>2</v>
      </c>
      <c r="G197">
        <v>9.0261211428571464</v>
      </c>
      <c r="H197" t="s">
        <v>1</v>
      </c>
      <c r="I197">
        <v>2</v>
      </c>
      <c r="J197">
        <v>12.200684715025908</v>
      </c>
      <c r="K197">
        <v>1.3517085048964763</v>
      </c>
      <c r="L197" t="s">
        <v>2</v>
      </c>
      <c r="M197">
        <v>1</v>
      </c>
      <c r="N197">
        <v>12.554806842105259</v>
      </c>
      <c r="O197">
        <v>1.3909415399371801</v>
      </c>
      <c r="P197" t="s">
        <v>3</v>
      </c>
      <c r="Q197">
        <v>3</v>
      </c>
      <c r="R197">
        <v>5.1918766839378234</v>
      </c>
      <c r="S197">
        <v>0.57520573918359541</v>
      </c>
      <c r="U197" t="s">
        <v>3</v>
      </c>
      <c r="V197" t="s">
        <v>24</v>
      </c>
      <c r="W197">
        <v>245</v>
      </c>
      <c r="X197">
        <f t="shared" si="15"/>
        <v>0.57520573918359541</v>
      </c>
      <c r="Y197">
        <f t="shared" si="16"/>
        <v>1.0560802312647724</v>
      </c>
      <c r="Z197">
        <f t="shared" si="17"/>
        <v>1.5369547233459495</v>
      </c>
      <c r="AA197">
        <f t="shared" si="18"/>
        <v>0.81564298522418399</v>
      </c>
      <c r="AB197">
        <f t="shared" si="19"/>
        <v>1.2965174773053609</v>
      </c>
    </row>
    <row r="198" spans="1:28" x14ac:dyDescent="0.3">
      <c r="A198" s="1" t="s">
        <v>14</v>
      </c>
      <c r="B198" s="1" t="s">
        <v>24</v>
      </c>
      <c r="C198" s="1">
        <v>44441</v>
      </c>
      <c r="D198">
        <v>245</v>
      </c>
      <c r="E198" t="s">
        <v>0</v>
      </c>
      <c r="F198">
        <v>3</v>
      </c>
      <c r="G198">
        <v>6.9595590425531917</v>
      </c>
      <c r="H198" t="s">
        <v>1</v>
      </c>
      <c r="I198">
        <v>3</v>
      </c>
      <c r="J198">
        <v>24.104115740740738</v>
      </c>
      <c r="K198">
        <v>3.4634544506856968</v>
      </c>
      <c r="L198" t="s">
        <v>2</v>
      </c>
      <c r="M198">
        <v>2</v>
      </c>
      <c r="N198">
        <v>9.4446968421052642</v>
      </c>
      <c r="O198">
        <v>1.3570826519837056</v>
      </c>
      <c r="P198" t="s">
        <v>3</v>
      </c>
      <c r="Q198">
        <v>3</v>
      </c>
      <c r="R198">
        <v>10.696527142857143</v>
      </c>
      <c r="S198">
        <v>1.5369547233459495</v>
      </c>
      <c r="U198" t="s">
        <v>3</v>
      </c>
      <c r="V198" t="s">
        <v>24</v>
      </c>
      <c r="W198">
        <v>245</v>
      </c>
      <c r="X198">
        <f t="shared" si="15"/>
        <v>1.5369547233459495</v>
      </c>
      <c r="Y198">
        <f t="shared" si="16"/>
        <v>1.5369547233459495</v>
      </c>
      <c r="Z198">
        <f t="shared" si="17"/>
        <v>1.5369547233459495</v>
      </c>
      <c r="AA198">
        <f t="shared" si="18"/>
        <v>1.5369547233459495</v>
      </c>
      <c r="AB198">
        <f t="shared" si="19"/>
        <v>1.5369547233459495</v>
      </c>
    </row>
    <row r="199" spans="1:28" x14ac:dyDescent="0.3">
      <c r="A199" s="1"/>
      <c r="B199" s="1"/>
      <c r="C199" s="1"/>
      <c r="D199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9B8C8-6A19-4D82-A867-55FD09427482}">
  <dimension ref="A1:G69"/>
  <sheetViews>
    <sheetView workbookViewId="0">
      <selection activeCell="D3" sqref="D3"/>
    </sheetView>
  </sheetViews>
  <sheetFormatPr defaultRowHeight="14.4" x14ac:dyDescent="0.3"/>
  <cols>
    <col min="4" max="4" width="13.109375" customWidth="1"/>
    <col min="5" max="5" width="13.5546875" customWidth="1"/>
    <col min="6" max="6" width="14.33203125" customWidth="1"/>
  </cols>
  <sheetData>
    <row r="1" spans="1:7" x14ac:dyDescent="0.3">
      <c r="A1" t="s">
        <v>12</v>
      </c>
      <c r="B1" t="s">
        <v>11</v>
      </c>
      <c r="C1" t="s">
        <v>10</v>
      </c>
      <c r="D1" t="s">
        <v>25</v>
      </c>
      <c r="E1" t="s">
        <v>26</v>
      </c>
      <c r="F1" t="s">
        <v>27</v>
      </c>
      <c r="G1" t="s">
        <v>28</v>
      </c>
    </row>
    <row r="2" spans="1:7" x14ac:dyDescent="0.3">
      <c r="A2" t="s">
        <v>19</v>
      </c>
      <c r="B2" t="s">
        <v>13</v>
      </c>
      <c r="C2">
        <v>152</v>
      </c>
      <c r="D2">
        <v>35.38519247</v>
      </c>
      <c r="E2">
        <v>1.107177415</v>
      </c>
      <c r="F2">
        <v>1.258321223</v>
      </c>
      <c r="G2">
        <v>0.74435487700000003</v>
      </c>
    </row>
    <row r="3" spans="1:7" x14ac:dyDescent="0.3">
      <c r="A3" t="s">
        <v>22</v>
      </c>
      <c r="B3" t="s">
        <v>14</v>
      </c>
      <c r="C3">
        <v>152</v>
      </c>
      <c r="D3">
        <v>68.256667329999999</v>
      </c>
      <c r="E3">
        <v>2.9796142790000002</v>
      </c>
      <c r="F3">
        <v>2.9976177279999998</v>
      </c>
      <c r="G3">
        <v>1.130704012</v>
      </c>
    </row>
    <row r="4" spans="1:7" x14ac:dyDescent="0.3">
      <c r="A4" t="s">
        <v>20</v>
      </c>
      <c r="B4" t="s">
        <v>13</v>
      </c>
      <c r="C4">
        <v>152</v>
      </c>
      <c r="D4">
        <v>61.946661900000002</v>
      </c>
      <c r="E4">
        <v>1.5162569020000001</v>
      </c>
      <c r="F4">
        <v>1.465113026</v>
      </c>
      <c r="G4">
        <v>0.521059622</v>
      </c>
    </row>
    <row r="5" spans="1:7" x14ac:dyDescent="0.3">
      <c r="A5" t="s">
        <v>23</v>
      </c>
      <c r="B5" t="s">
        <v>14</v>
      </c>
      <c r="C5">
        <v>152</v>
      </c>
      <c r="D5">
        <v>55.292430340000003</v>
      </c>
      <c r="E5">
        <v>1.880171617</v>
      </c>
      <c r="F5">
        <v>1.472863985</v>
      </c>
      <c r="G5">
        <v>0.38379015599999999</v>
      </c>
    </row>
    <row r="6" spans="1:7" x14ac:dyDescent="0.3">
      <c r="A6" t="s">
        <v>21</v>
      </c>
      <c r="B6" t="s">
        <v>13</v>
      </c>
      <c r="C6">
        <v>152</v>
      </c>
      <c r="D6">
        <v>17.56912015</v>
      </c>
      <c r="E6">
        <v>0.400125964</v>
      </c>
      <c r="F6">
        <v>0.32654657999999998</v>
      </c>
      <c r="G6">
        <v>1.0566646790000001</v>
      </c>
    </row>
    <row r="7" spans="1:7" x14ac:dyDescent="0.3">
      <c r="A7" t="s">
        <v>24</v>
      </c>
      <c r="B7" t="s">
        <v>14</v>
      </c>
      <c r="C7">
        <v>152</v>
      </c>
      <c r="D7">
        <v>4.5557897729999999</v>
      </c>
      <c r="E7">
        <v>0.51603860300000004</v>
      </c>
      <c r="F7">
        <v>0.17240005</v>
      </c>
      <c r="G7">
        <v>0.91092873299999999</v>
      </c>
    </row>
    <row r="8" spans="1:7" x14ac:dyDescent="0.3">
      <c r="A8" t="s">
        <v>19</v>
      </c>
      <c r="B8" t="s">
        <v>13</v>
      </c>
      <c r="C8">
        <v>165</v>
      </c>
      <c r="D8">
        <v>6.4742438250000003</v>
      </c>
      <c r="E8">
        <v>1.2089496980000001</v>
      </c>
      <c r="F8">
        <v>1.1293093949999999</v>
      </c>
      <c r="G8">
        <v>0.78270848299999995</v>
      </c>
    </row>
    <row r="9" spans="1:7" x14ac:dyDescent="0.3">
      <c r="A9" t="s">
        <v>22</v>
      </c>
      <c r="B9" t="s">
        <v>14</v>
      </c>
      <c r="C9">
        <v>165</v>
      </c>
      <c r="D9">
        <v>0.87577365100000004</v>
      </c>
      <c r="E9">
        <v>0.44653463599999998</v>
      </c>
      <c r="F9">
        <v>2.4123405120000001</v>
      </c>
      <c r="G9">
        <v>2.6594509639999999</v>
      </c>
    </row>
    <row r="10" spans="1:7" x14ac:dyDescent="0.3">
      <c r="A10" t="s">
        <v>20</v>
      </c>
      <c r="B10" t="s">
        <v>13</v>
      </c>
      <c r="C10">
        <v>165</v>
      </c>
      <c r="D10">
        <v>25.021873500000002</v>
      </c>
      <c r="E10">
        <v>2.818721365</v>
      </c>
      <c r="F10">
        <v>4.6670385259999998</v>
      </c>
      <c r="G10">
        <v>1.173054415</v>
      </c>
    </row>
    <row r="11" spans="1:7" x14ac:dyDescent="0.3">
      <c r="A11" t="s">
        <v>23</v>
      </c>
      <c r="B11" t="s">
        <v>14</v>
      </c>
      <c r="C11">
        <v>165</v>
      </c>
      <c r="D11">
        <v>4.7810913560000001</v>
      </c>
      <c r="E11">
        <v>0.73142943000000005</v>
      </c>
      <c r="F11">
        <v>3.4879281999999998E-2</v>
      </c>
      <c r="G11">
        <v>0.63986813799999998</v>
      </c>
    </row>
    <row r="12" spans="1:7" x14ac:dyDescent="0.3">
      <c r="A12" t="s">
        <v>21</v>
      </c>
      <c r="B12" t="s">
        <v>13</v>
      </c>
      <c r="C12">
        <v>165</v>
      </c>
      <c r="D12">
        <v>62.06367547</v>
      </c>
      <c r="E12">
        <v>0.25645331500000002</v>
      </c>
      <c r="F12">
        <v>0.28658478399999998</v>
      </c>
      <c r="G12">
        <v>0.72586945199999997</v>
      </c>
    </row>
    <row r="13" spans="1:7" x14ac:dyDescent="0.3">
      <c r="A13" t="s">
        <v>24</v>
      </c>
      <c r="B13" t="s">
        <v>14</v>
      </c>
      <c r="C13">
        <v>165</v>
      </c>
      <c r="D13">
        <v>4.8763827559999999</v>
      </c>
      <c r="E13">
        <v>0.87879706499999999</v>
      </c>
      <c r="F13">
        <v>2.4914039999999998E-2</v>
      </c>
      <c r="G13">
        <v>0.37544857500000001</v>
      </c>
    </row>
    <row r="14" spans="1:7" x14ac:dyDescent="0.3">
      <c r="A14" t="s">
        <v>19</v>
      </c>
      <c r="B14" t="s">
        <v>13</v>
      </c>
      <c r="C14">
        <v>172</v>
      </c>
      <c r="D14">
        <v>102.58727469999999</v>
      </c>
      <c r="E14">
        <v>0.392428687</v>
      </c>
      <c r="F14">
        <v>0.55495424299999996</v>
      </c>
      <c r="G14">
        <v>0.62898095600000004</v>
      </c>
    </row>
    <row r="15" spans="1:7" x14ac:dyDescent="0.3">
      <c r="A15" t="s">
        <v>22</v>
      </c>
      <c r="B15" t="s">
        <v>14</v>
      </c>
      <c r="C15">
        <v>172</v>
      </c>
      <c r="D15">
        <v>3.6299322570000001</v>
      </c>
      <c r="E15">
        <v>1.1177588279999999</v>
      </c>
      <c r="F15">
        <v>0.37435601299999999</v>
      </c>
      <c r="G15">
        <v>0.74364667299999998</v>
      </c>
    </row>
    <row r="16" spans="1:7" x14ac:dyDescent="0.3">
      <c r="A16" t="s">
        <v>20</v>
      </c>
      <c r="B16" t="s">
        <v>13</v>
      </c>
      <c r="C16">
        <v>172</v>
      </c>
      <c r="D16">
        <v>31.69593918</v>
      </c>
      <c r="E16">
        <v>2.3886106950000001</v>
      </c>
      <c r="F16">
        <v>2.4311330010000001</v>
      </c>
      <c r="G16">
        <v>0.82032802100000002</v>
      </c>
    </row>
    <row r="17" spans="1:7" x14ac:dyDescent="0.3">
      <c r="A17" t="s">
        <v>23</v>
      </c>
      <c r="B17" t="s">
        <v>14</v>
      </c>
      <c r="C17">
        <v>172</v>
      </c>
      <c r="D17">
        <v>7.5645687779999999</v>
      </c>
      <c r="E17">
        <v>1.000206994</v>
      </c>
      <c r="F17">
        <v>0.90142661000000002</v>
      </c>
      <c r="G17">
        <v>0.67453163000000005</v>
      </c>
    </row>
    <row r="18" spans="1:7" x14ac:dyDescent="0.3">
      <c r="A18" t="s">
        <v>21</v>
      </c>
      <c r="B18" t="s">
        <v>13</v>
      </c>
      <c r="C18">
        <v>172</v>
      </c>
      <c r="D18">
        <v>49.787072610000003</v>
      </c>
      <c r="E18">
        <v>0.111638932</v>
      </c>
      <c r="F18">
        <v>8.4943909999999997E-2</v>
      </c>
      <c r="G18">
        <v>1.0148120970000001</v>
      </c>
    </row>
    <row r="19" spans="1:7" x14ac:dyDescent="0.3">
      <c r="A19" t="s">
        <v>24</v>
      </c>
      <c r="B19" t="s">
        <v>14</v>
      </c>
      <c r="C19">
        <v>172</v>
      </c>
      <c r="D19">
        <v>5.5254423299999997</v>
      </c>
      <c r="E19">
        <v>0.64658072799999999</v>
      </c>
      <c r="F19">
        <v>1.0149210289999999</v>
      </c>
      <c r="G19">
        <v>0.82901554700000002</v>
      </c>
    </row>
    <row r="20" spans="1:7" x14ac:dyDescent="0.3">
      <c r="A20" t="s">
        <v>19</v>
      </c>
      <c r="B20" t="s">
        <v>13</v>
      </c>
      <c r="C20">
        <v>179</v>
      </c>
      <c r="D20">
        <v>47.598563200000001</v>
      </c>
      <c r="E20">
        <v>1.0076993970000001</v>
      </c>
      <c r="F20">
        <v>1.1420395459999999</v>
      </c>
      <c r="G20">
        <v>1.060886156</v>
      </c>
    </row>
    <row r="21" spans="1:7" x14ac:dyDescent="0.3">
      <c r="A21" t="s">
        <v>22</v>
      </c>
      <c r="B21" t="s">
        <v>14</v>
      </c>
      <c r="C21">
        <v>179</v>
      </c>
      <c r="D21">
        <v>23.24052197</v>
      </c>
      <c r="E21">
        <v>1.1079618069999999</v>
      </c>
      <c r="F21">
        <v>1.091998128</v>
      </c>
      <c r="G21">
        <v>1.0474768670000001</v>
      </c>
    </row>
    <row r="22" spans="1:7" x14ac:dyDescent="0.3">
      <c r="A22" t="s">
        <v>23</v>
      </c>
      <c r="B22" t="s">
        <v>14</v>
      </c>
      <c r="C22">
        <v>179</v>
      </c>
      <c r="D22">
        <v>10.005289899999999</v>
      </c>
      <c r="E22">
        <v>1.3807910969999999</v>
      </c>
      <c r="F22">
        <v>1.09937142</v>
      </c>
      <c r="G22">
        <v>1.3202960610000001</v>
      </c>
    </row>
    <row r="23" spans="1:7" x14ac:dyDescent="0.3">
      <c r="A23" t="s">
        <v>21</v>
      </c>
      <c r="B23" t="s">
        <v>13</v>
      </c>
      <c r="C23">
        <v>179</v>
      </c>
      <c r="D23">
        <v>17.5341679</v>
      </c>
      <c r="E23">
        <v>0.373659503</v>
      </c>
      <c r="F23">
        <v>0.25857322900000002</v>
      </c>
      <c r="G23">
        <v>1.0134505869999999</v>
      </c>
    </row>
    <row r="24" spans="1:7" x14ac:dyDescent="0.3">
      <c r="A24" t="s">
        <v>24</v>
      </c>
      <c r="B24" t="s">
        <v>14</v>
      </c>
      <c r="C24">
        <v>179</v>
      </c>
      <c r="D24">
        <v>2.171498546</v>
      </c>
      <c r="E24">
        <v>-0.38946584299999998</v>
      </c>
      <c r="F24">
        <v>3.8459001129999999</v>
      </c>
      <c r="G24">
        <v>1.5198467200000001</v>
      </c>
    </row>
    <row r="25" spans="1:7" x14ac:dyDescent="0.3">
      <c r="A25" t="s">
        <v>19</v>
      </c>
      <c r="B25" t="s">
        <v>13</v>
      </c>
      <c r="C25">
        <v>193</v>
      </c>
      <c r="D25">
        <v>43.011644969999999</v>
      </c>
      <c r="E25">
        <v>1.0499906459999999</v>
      </c>
      <c r="F25">
        <v>1.2253376060000001</v>
      </c>
      <c r="G25">
        <v>1.490865509</v>
      </c>
    </row>
    <row r="26" spans="1:7" x14ac:dyDescent="0.3">
      <c r="A26" t="s">
        <v>22</v>
      </c>
      <c r="B26" t="s">
        <v>14</v>
      </c>
      <c r="C26">
        <v>193</v>
      </c>
      <c r="D26">
        <v>7.5301963179999998</v>
      </c>
      <c r="E26">
        <v>0.90662003999999996</v>
      </c>
      <c r="F26">
        <v>1.2356077089999999</v>
      </c>
      <c r="G26">
        <v>1.1466700190000001</v>
      </c>
    </row>
    <row r="27" spans="1:7" x14ac:dyDescent="0.3">
      <c r="A27" t="s">
        <v>20</v>
      </c>
      <c r="B27" t="s">
        <v>13</v>
      </c>
      <c r="C27">
        <v>193</v>
      </c>
      <c r="D27">
        <v>122.69931219999999</v>
      </c>
      <c r="E27">
        <v>2.0088161680000001</v>
      </c>
      <c r="F27">
        <v>2.732728185</v>
      </c>
      <c r="G27">
        <v>1.040674581</v>
      </c>
    </row>
    <row r="28" spans="1:7" x14ac:dyDescent="0.3">
      <c r="A28" t="s">
        <v>23</v>
      </c>
      <c r="B28" t="s">
        <v>14</v>
      </c>
      <c r="C28">
        <v>193</v>
      </c>
      <c r="D28">
        <v>20.946298330000001</v>
      </c>
      <c r="E28">
        <v>4.1812994259999998</v>
      </c>
      <c r="F28">
        <v>4.704827292</v>
      </c>
      <c r="G28">
        <v>1.1866687709999999</v>
      </c>
    </row>
    <row r="29" spans="1:7" x14ac:dyDescent="0.3">
      <c r="A29" t="s">
        <v>21</v>
      </c>
      <c r="B29" t="s">
        <v>13</v>
      </c>
      <c r="C29">
        <v>193</v>
      </c>
      <c r="D29">
        <v>4.2603213709999999</v>
      </c>
      <c r="E29">
        <v>0.862950985</v>
      </c>
      <c r="F29">
        <v>0.77184519200000001</v>
      </c>
      <c r="G29">
        <v>0.70716668100000002</v>
      </c>
    </row>
    <row r="30" spans="1:7" x14ac:dyDescent="0.3">
      <c r="A30" t="s">
        <v>24</v>
      </c>
      <c r="B30" t="s">
        <v>14</v>
      </c>
      <c r="C30">
        <v>193</v>
      </c>
      <c r="D30">
        <v>5.7650088070000001</v>
      </c>
      <c r="E30">
        <v>0.541703767</v>
      </c>
      <c r="F30">
        <v>3.0515049730000001</v>
      </c>
      <c r="G30">
        <v>2.6403935430000001</v>
      </c>
    </row>
    <row r="31" spans="1:7" x14ac:dyDescent="0.3">
      <c r="A31" t="s">
        <v>19</v>
      </c>
      <c r="B31" t="s">
        <v>13</v>
      </c>
      <c r="C31">
        <v>200</v>
      </c>
      <c r="D31">
        <v>33.405502220000002</v>
      </c>
      <c r="E31">
        <v>0.82612778399999998</v>
      </c>
      <c r="F31">
        <v>0.65739249300000002</v>
      </c>
      <c r="G31">
        <v>0.69101841500000005</v>
      </c>
    </row>
    <row r="32" spans="1:7" x14ac:dyDescent="0.3">
      <c r="A32" t="s">
        <v>22</v>
      </c>
      <c r="B32" t="s">
        <v>14</v>
      </c>
      <c r="C32">
        <v>200</v>
      </c>
      <c r="D32">
        <v>25.495250540000001</v>
      </c>
      <c r="E32">
        <v>0.94935327599999997</v>
      </c>
      <c r="F32">
        <v>0.87015942999999996</v>
      </c>
      <c r="G32">
        <v>0.91579215999999997</v>
      </c>
    </row>
    <row r="33" spans="1:7" x14ac:dyDescent="0.3">
      <c r="A33" t="s">
        <v>20</v>
      </c>
      <c r="B33" t="s">
        <v>13</v>
      </c>
      <c r="C33">
        <v>200</v>
      </c>
      <c r="D33">
        <v>75.879567390000005</v>
      </c>
      <c r="E33">
        <v>1.690979104</v>
      </c>
      <c r="F33">
        <v>1.6134462490000001</v>
      </c>
      <c r="G33">
        <v>0.74467161999999998</v>
      </c>
    </row>
    <row r="34" spans="1:7" x14ac:dyDescent="0.3">
      <c r="A34" t="s">
        <v>23</v>
      </c>
      <c r="B34" t="s">
        <v>14</v>
      </c>
      <c r="C34">
        <v>200</v>
      </c>
      <c r="D34">
        <v>22.620228239999999</v>
      </c>
      <c r="E34">
        <v>2.662516965</v>
      </c>
      <c r="F34">
        <v>2.6465231760000001</v>
      </c>
      <c r="G34">
        <v>0.94047519700000004</v>
      </c>
    </row>
    <row r="35" spans="1:7" x14ac:dyDescent="0.3">
      <c r="A35" t="s">
        <v>21</v>
      </c>
      <c r="B35" t="s">
        <v>13</v>
      </c>
      <c r="C35">
        <v>200</v>
      </c>
      <c r="D35">
        <v>24.704232999999999</v>
      </c>
      <c r="E35">
        <v>0.59383118000000001</v>
      </c>
      <c r="F35">
        <v>0.74701256100000002</v>
      </c>
      <c r="G35">
        <v>0.86627210099999996</v>
      </c>
    </row>
    <row r="36" spans="1:7" x14ac:dyDescent="0.3">
      <c r="A36" t="s">
        <v>24</v>
      </c>
      <c r="B36" t="s">
        <v>14</v>
      </c>
      <c r="C36">
        <v>200</v>
      </c>
      <c r="D36">
        <v>15.881763579999999</v>
      </c>
      <c r="E36">
        <v>0.83671608799999997</v>
      </c>
      <c r="F36">
        <v>0.83040844000000003</v>
      </c>
      <c r="G36">
        <v>0.87012305199999995</v>
      </c>
    </row>
    <row r="37" spans="1:7" x14ac:dyDescent="0.3">
      <c r="A37" t="s">
        <v>19</v>
      </c>
      <c r="B37" t="s">
        <v>13</v>
      </c>
      <c r="C37">
        <v>207</v>
      </c>
      <c r="D37">
        <v>82.078798280000001</v>
      </c>
      <c r="E37">
        <v>1.1968534550000001</v>
      </c>
      <c r="F37">
        <v>0.76524571900000005</v>
      </c>
      <c r="G37">
        <v>0.86501185199999997</v>
      </c>
    </row>
    <row r="38" spans="1:7" x14ac:dyDescent="0.3">
      <c r="A38" t="s">
        <v>22</v>
      </c>
      <c r="B38" t="s">
        <v>14</v>
      </c>
      <c r="C38">
        <v>207</v>
      </c>
      <c r="D38">
        <v>105.30041540000001</v>
      </c>
      <c r="E38">
        <v>0.70642638899999999</v>
      </c>
      <c r="G38">
        <v>0.67466364300000004</v>
      </c>
    </row>
    <row r="39" spans="1:7" x14ac:dyDescent="0.3">
      <c r="A39" t="s">
        <v>20</v>
      </c>
      <c r="B39" t="s">
        <v>13</v>
      </c>
      <c r="C39">
        <v>207</v>
      </c>
      <c r="D39">
        <v>70.704861320000006</v>
      </c>
      <c r="E39">
        <v>1.019665329</v>
      </c>
      <c r="F39">
        <v>5.0558550779999996</v>
      </c>
      <c r="G39">
        <v>1.4768803100000001</v>
      </c>
    </row>
    <row r="40" spans="1:7" x14ac:dyDescent="0.3">
      <c r="A40" t="s">
        <v>19</v>
      </c>
      <c r="B40" t="s">
        <v>13</v>
      </c>
      <c r="C40">
        <v>215</v>
      </c>
      <c r="D40">
        <v>58.216546880000003</v>
      </c>
      <c r="E40">
        <v>2.3240986029999999</v>
      </c>
      <c r="F40">
        <v>2.2662806510000002</v>
      </c>
      <c r="G40">
        <v>1.4688431479999999</v>
      </c>
    </row>
    <row r="41" spans="1:7" x14ac:dyDescent="0.3">
      <c r="A41" t="s">
        <v>22</v>
      </c>
      <c r="B41" t="s">
        <v>14</v>
      </c>
      <c r="C41">
        <v>215</v>
      </c>
      <c r="D41">
        <v>4.9547645009999997</v>
      </c>
      <c r="E41">
        <v>1.0824157969999999</v>
      </c>
      <c r="F41">
        <v>1.215683939</v>
      </c>
      <c r="G41">
        <v>1.8987349520000001</v>
      </c>
    </row>
    <row r="42" spans="1:7" x14ac:dyDescent="0.3">
      <c r="A42" t="s">
        <v>20</v>
      </c>
      <c r="B42" t="s">
        <v>13</v>
      </c>
      <c r="C42">
        <v>215</v>
      </c>
      <c r="D42">
        <v>157.1826097</v>
      </c>
      <c r="E42">
        <v>0.92170838899999996</v>
      </c>
      <c r="F42">
        <v>0.81589751099999996</v>
      </c>
      <c r="G42">
        <v>1.3918927219999999</v>
      </c>
    </row>
    <row r="43" spans="1:7" x14ac:dyDescent="0.3">
      <c r="A43" t="s">
        <v>23</v>
      </c>
      <c r="B43" t="s">
        <v>14</v>
      </c>
      <c r="C43">
        <v>215</v>
      </c>
      <c r="D43">
        <v>21.15553865</v>
      </c>
      <c r="E43">
        <v>11.285242070000001</v>
      </c>
      <c r="F43">
        <v>11.193838100000001</v>
      </c>
      <c r="G43">
        <v>0.58466656400000006</v>
      </c>
    </row>
    <row r="44" spans="1:7" x14ac:dyDescent="0.3">
      <c r="A44" t="s">
        <v>21</v>
      </c>
      <c r="B44" t="s">
        <v>13</v>
      </c>
      <c r="C44">
        <v>215</v>
      </c>
      <c r="D44">
        <v>49.666830730000001</v>
      </c>
      <c r="E44">
        <v>0.87365726799999999</v>
      </c>
      <c r="F44">
        <v>0.82192208099999997</v>
      </c>
      <c r="G44">
        <v>0.78202766700000004</v>
      </c>
    </row>
    <row r="45" spans="1:7" x14ac:dyDescent="0.3">
      <c r="A45" t="s">
        <v>24</v>
      </c>
      <c r="B45" t="s">
        <v>14</v>
      </c>
      <c r="C45">
        <v>215</v>
      </c>
      <c r="D45">
        <v>15.675972570000001</v>
      </c>
      <c r="E45">
        <v>0.24133863899999999</v>
      </c>
      <c r="F45">
        <v>0.70820050800000001</v>
      </c>
      <c r="G45">
        <v>1.3256685260000001</v>
      </c>
    </row>
    <row r="46" spans="1:7" x14ac:dyDescent="0.3">
      <c r="A46" t="s">
        <v>19</v>
      </c>
      <c r="B46" t="s">
        <v>13</v>
      </c>
      <c r="C46">
        <v>221</v>
      </c>
      <c r="D46">
        <v>59.839461110000002</v>
      </c>
      <c r="E46">
        <v>1.059505664</v>
      </c>
      <c r="F46">
        <v>1.7353868290000001</v>
      </c>
      <c r="G46">
        <v>1.50897755</v>
      </c>
    </row>
    <row r="47" spans="1:7" x14ac:dyDescent="0.3">
      <c r="A47" t="s">
        <v>22</v>
      </c>
      <c r="B47" t="s">
        <v>14</v>
      </c>
      <c r="C47">
        <v>221</v>
      </c>
      <c r="D47">
        <v>6.1131269010000002</v>
      </c>
      <c r="E47">
        <v>0.82547212999999997</v>
      </c>
      <c r="F47">
        <v>0.18344432999999999</v>
      </c>
      <c r="G47">
        <v>0.113030166</v>
      </c>
    </row>
    <row r="48" spans="1:7" x14ac:dyDescent="0.3">
      <c r="A48" t="s">
        <v>20</v>
      </c>
      <c r="B48" t="s">
        <v>13</v>
      </c>
      <c r="C48">
        <v>221</v>
      </c>
      <c r="D48">
        <v>35.506461090000002</v>
      </c>
      <c r="E48">
        <v>1.407290846</v>
      </c>
      <c r="F48">
        <v>1.8995420810000001</v>
      </c>
      <c r="G48">
        <v>0.73514980200000002</v>
      </c>
    </row>
    <row r="49" spans="1:7" x14ac:dyDescent="0.3">
      <c r="A49" t="s">
        <v>23</v>
      </c>
      <c r="B49" t="s">
        <v>14</v>
      </c>
      <c r="C49">
        <v>221</v>
      </c>
      <c r="D49">
        <v>7.8239915240000002</v>
      </c>
      <c r="E49">
        <v>34.840071590000001</v>
      </c>
      <c r="F49">
        <v>30.332241920000001</v>
      </c>
      <c r="G49">
        <v>0.98234139799999998</v>
      </c>
    </row>
    <row r="50" spans="1:7" x14ac:dyDescent="0.3">
      <c r="A50" t="s">
        <v>21</v>
      </c>
      <c r="B50" t="s">
        <v>13</v>
      </c>
      <c r="C50">
        <v>221</v>
      </c>
      <c r="D50">
        <v>77.823653809999996</v>
      </c>
      <c r="E50">
        <v>0.61239068200000002</v>
      </c>
      <c r="F50">
        <v>1.2630347989999999</v>
      </c>
      <c r="G50">
        <v>1.075840192</v>
      </c>
    </row>
    <row r="51" spans="1:7" x14ac:dyDescent="0.3">
      <c r="A51" t="s">
        <v>24</v>
      </c>
      <c r="B51" t="s">
        <v>14</v>
      </c>
      <c r="C51">
        <v>221</v>
      </c>
      <c r="D51">
        <v>52.712754099999998</v>
      </c>
      <c r="E51">
        <v>0.70550028399999998</v>
      </c>
      <c r="F51">
        <v>0.66036959200000001</v>
      </c>
      <c r="G51">
        <v>0.99701897799999994</v>
      </c>
    </row>
    <row r="52" spans="1:7" x14ac:dyDescent="0.3">
      <c r="A52" t="s">
        <v>19</v>
      </c>
      <c r="B52" t="s">
        <v>13</v>
      </c>
      <c r="C52">
        <v>228</v>
      </c>
      <c r="D52">
        <v>224.36651430000001</v>
      </c>
      <c r="E52">
        <v>0.769354494</v>
      </c>
      <c r="F52">
        <v>0.78314894899999998</v>
      </c>
      <c r="G52">
        <v>0.74857458200000004</v>
      </c>
    </row>
    <row r="53" spans="1:7" x14ac:dyDescent="0.3">
      <c r="A53" t="s">
        <v>22</v>
      </c>
      <c r="B53" t="s">
        <v>14</v>
      </c>
      <c r="C53">
        <v>228</v>
      </c>
      <c r="D53">
        <v>8.6246020110000003</v>
      </c>
      <c r="E53">
        <v>0.344433669</v>
      </c>
      <c r="F53">
        <v>0.52747325700000003</v>
      </c>
      <c r="G53">
        <v>1.0652872929999999</v>
      </c>
    </row>
    <row r="54" spans="1:7" x14ac:dyDescent="0.3">
      <c r="A54" t="s">
        <v>20</v>
      </c>
      <c r="B54" t="s">
        <v>13</v>
      </c>
      <c r="C54">
        <v>228</v>
      </c>
      <c r="D54">
        <v>173.8728347</v>
      </c>
      <c r="E54">
        <v>0.90751780900000001</v>
      </c>
      <c r="F54">
        <v>1.2258643199999999</v>
      </c>
      <c r="G54">
        <v>0.72273086600000003</v>
      </c>
    </row>
    <row r="55" spans="1:7" x14ac:dyDescent="0.3">
      <c r="A55" t="s">
        <v>23</v>
      </c>
      <c r="B55" t="s">
        <v>14</v>
      </c>
      <c r="C55">
        <v>228</v>
      </c>
      <c r="D55">
        <v>40.155366270000002</v>
      </c>
      <c r="E55">
        <v>3.0321048410000002</v>
      </c>
      <c r="F55">
        <v>3.0047496250000001</v>
      </c>
      <c r="G55">
        <v>0.966432544</v>
      </c>
    </row>
    <row r="56" spans="1:7" x14ac:dyDescent="0.3">
      <c r="A56" t="s">
        <v>21</v>
      </c>
      <c r="B56" t="s">
        <v>13</v>
      </c>
      <c r="C56">
        <v>228</v>
      </c>
      <c r="D56">
        <v>138.75790169999999</v>
      </c>
      <c r="E56">
        <v>1.067861628</v>
      </c>
      <c r="F56">
        <v>1.034932491</v>
      </c>
      <c r="G56">
        <v>1.1522082380000001</v>
      </c>
    </row>
    <row r="57" spans="1:7" x14ac:dyDescent="0.3">
      <c r="A57" t="s">
        <v>24</v>
      </c>
      <c r="B57" t="s">
        <v>14</v>
      </c>
      <c r="C57">
        <v>228</v>
      </c>
      <c r="D57">
        <v>67.869543800000002</v>
      </c>
      <c r="E57">
        <v>0.540668539</v>
      </c>
      <c r="F57">
        <v>0.51444081600000002</v>
      </c>
      <c r="G57">
        <v>0.492364782</v>
      </c>
    </row>
    <row r="58" spans="1:7" x14ac:dyDescent="0.3">
      <c r="A58" t="s">
        <v>19</v>
      </c>
      <c r="B58" t="s">
        <v>13</v>
      </c>
      <c r="C58">
        <v>238</v>
      </c>
      <c r="D58">
        <v>330.67947720000001</v>
      </c>
      <c r="E58">
        <v>0.72629803999999998</v>
      </c>
      <c r="F58">
        <v>0.64647263399999999</v>
      </c>
      <c r="G58">
        <v>1.1251260359999999</v>
      </c>
    </row>
    <row r="59" spans="1:7" x14ac:dyDescent="0.3">
      <c r="A59" t="s">
        <v>22</v>
      </c>
      <c r="B59" t="s">
        <v>14</v>
      </c>
      <c r="C59">
        <v>238</v>
      </c>
      <c r="D59">
        <v>4.8572219490000004</v>
      </c>
      <c r="E59">
        <v>0.83422264700000004</v>
      </c>
      <c r="F59">
        <v>1.13950898</v>
      </c>
      <c r="G59">
        <v>1.494089183</v>
      </c>
    </row>
    <row r="60" spans="1:7" x14ac:dyDescent="0.3">
      <c r="A60" t="s">
        <v>20</v>
      </c>
      <c r="B60" t="s">
        <v>13</v>
      </c>
      <c r="C60">
        <v>238</v>
      </c>
      <c r="D60">
        <v>74.105564490000006</v>
      </c>
      <c r="E60">
        <v>0.84867150999999996</v>
      </c>
      <c r="F60">
        <v>2.041741305</v>
      </c>
      <c r="G60">
        <v>0.691529752</v>
      </c>
    </row>
    <row r="61" spans="1:7" x14ac:dyDescent="0.3">
      <c r="A61" t="s">
        <v>23</v>
      </c>
      <c r="B61" t="s">
        <v>14</v>
      </c>
      <c r="C61">
        <v>238</v>
      </c>
      <c r="D61">
        <v>44.627925040000001</v>
      </c>
      <c r="E61">
        <v>2.2572588570000001</v>
      </c>
      <c r="F61">
        <v>2.538567885</v>
      </c>
      <c r="G61">
        <v>1.008613972</v>
      </c>
    </row>
    <row r="62" spans="1:7" x14ac:dyDescent="0.3">
      <c r="A62" t="s">
        <v>21</v>
      </c>
      <c r="B62" t="s">
        <v>13</v>
      </c>
      <c r="C62">
        <v>238</v>
      </c>
      <c r="D62">
        <v>495.14912390000001</v>
      </c>
      <c r="E62">
        <v>0.59429811600000004</v>
      </c>
      <c r="F62">
        <v>0.50190130099999997</v>
      </c>
      <c r="G62">
        <v>0.79489022799999998</v>
      </c>
    </row>
    <row r="63" spans="1:7" x14ac:dyDescent="0.3">
      <c r="A63" t="s">
        <v>24</v>
      </c>
      <c r="B63" t="s">
        <v>14</v>
      </c>
      <c r="C63">
        <v>238</v>
      </c>
      <c r="D63">
        <v>25.800222779999999</v>
      </c>
      <c r="E63">
        <v>0.730156688</v>
      </c>
      <c r="F63">
        <v>0.73122130500000004</v>
      </c>
      <c r="G63">
        <v>1.023648041</v>
      </c>
    </row>
    <row r="64" spans="1:7" x14ac:dyDescent="0.3">
      <c r="A64" t="s">
        <v>19</v>
      </c>
      <c r="B64" t="s">
        <v>13</v>
      </c>
      <c r="C64">
        <v>245</v>
      </c>
      <c r="D64">
        <v>36.299712839999998</v>
      </c>
      <c r="E64">
        <v>0.72018973399999997</v>
      </c>
      <c r="F64">
        <v>0.95338180100000003</v>
      </c>
      <c r="G64">
        <v>2.7786290500000002</v>
      </c>
    </row>
    <row r="65" spans="1:7" x14ac:dyDescent="0.3">
      <c r="A65" t="s">
        <v>22</v>
      </c>
      <c r="B65" t="s">
        <v>14</v>
      </c>
      <c r="C65">
        <v>245</v>
      </c>
      <c r="D65">
        <v>9.7715607710000008</v>
      </c>
      <c r="E65">
        <v>0.59033317900000004</v>
      </c>
      <c r="F65">
        <v>0.55042601300000005</v>
      </c>
      <c r="G65">
        <v>0.59256282699999996</v>
      </c>
    </row>
    <row r="66" spans="1:7" x14ac:dyDescent="0.3">
      <c r="A66" t="s">
        <v>20</v>
      </c>
      <c r="B66" t="s">
        <v>13</v>
      </c>
      <c r="C66">
        <v>245</v>
      </c>
      <c r="D66">
        <v>79.477080020000002</v>
      </c>
      <c r="E66">
        <v>1.6898485160000001</v>
      </c>
      <c r="F66">
        <v>1.0906311049999999</v>
      </c>
      <c r="G66">
        <v>1.718244001</v>
      </c>
    </row>
    <row r="67" spans="1:7" x14ac:dyDescent="0.3">
      <c r="A67" t="s">
        <v>23</v>
      </c>
      <c r="B67" t="s">
        <v>14</v>
      </c>
      <c r="C67">
        <v>245</v>
      </c>
      <c r="D67">
        <v>8.6154995949999993</v>
      </c>
      <c r="E67">
        <v>0.76515401400000005</v>
      </c>
      <c r="F67">
        <v>0.93808317200000002</v>
      </c>
      <c r="G67">
        <v>2.639160178</v>
      </c>
    </row>
    <row r="68" spans="1:7" x14ac:dyDescent="0.3">
      <c r="A68" t="s">
        <v>21</v>
      </c>
      <c r="B68" t="s">
        <v>13</v>
      </c>
      <c r="C68">
        <v>245</v>
      </c>
      <c r="D68">
        <v>317.1608306</v>
      </c>
      <c r="E68">
        <v>0.73326266900000003</v>
      </c>
      <c r="F68">
        <v>0.61099282799999999</v>
      </c>
      <c r="G68">
        <v>0.83087663599999995</v>
      </c>
    </row>
    <row r="69" spans="1:7" x14ac:dyDescent="0.3">
      <c r="A69" t="s">
        <v>24</v>
      </c>
      <c r="B69" t="s">
        <v>14</v>
      </c>
      <c r="C69">
        <v>245</v>
      </c>
      <c r="D69">
        <v>8.5614033949999993</v>
      </c>
      <c r="E69">
        <v>2.0362792270000001</v>
      </c>
      <c r="F69">
        <v>1.4420877249999999</v>
      </c>
      <c r="G69">
        <v>0.97964570699999998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Mean data</vt:lpstr>
    </vt:vector>
  </TitlesOfParts>
  <Company>University of Regina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limno</dc:creator>
  <cp:lastModifiedBy>Cale Gushulak</cp:lastModifiedBy>
  <dcterms:created xsi:type="dcterms:W3CDTF">2021-11-08T18:22:50Z</dcterms:created>
  <dcterms:modified xsi:type="dcterms:W3CDTF">2026-03-10T17:05:35Z</dcterms:modified>
</cp:coreProperties>
</file>